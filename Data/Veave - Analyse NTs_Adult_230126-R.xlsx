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srinivassan\Documents\Stage 2026 NTS\"/>
    </mc:Choice>
  </mc:AlternateContent>
  <xr:revisionPtr revIDLastSave="0" documentId="13_ncr:1_{F077B088-B0CA-4DAD-8B9C-28FE6ECC66F9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TOT-Adult" sheetId="5" r:id="rId1"/>
    <sheet name="NT-cleaning" sheetId="6" r:id="rId2"/>
    <sheet name="NTadu-R-stack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C42" i="5" l="1"/>
  <c r="AB42" i="5"/>
  <c r="AA42" i="5"/>
  <c r="Z42" i="5"/>
  <c r="Y42" i="5"/>
  <c r="X42" i="5"/>
  <c r="W42" i="5"/>
  <c r="V42" i="5"/>
  <c r="U42" i="5"/>
  <c r="T42" i="5"/>
  <c r="S42" i="5"/>
  <c r="Q42" i="5"/>
  <c r="P42" i="5"/>
  <c r="AC23" i="5"/>
  <c r="AB23" i="5"/>
  <c r="AA23" i="5"/>
  <c r="Z23" i="5"/>
  <c r="Y23" i="5"/>
  <c r="X23" i="5"/>
  <c r="W23" i="5"/>
  <c r="V23" i="5"/>
  <c r="U23" i="5"/>
  <c r="T23" i="5"/>
  <c r="S23" i="5"/>
  <c r="Q23" i="5"/>
  <c r="P23" i="5"/>
</calcChain>
</file>

<file path=xl/sharedStrings.xml><?xml version="1.0" encoding="utf-8"?>
<sst xmlns="http://schemas.openxmlformats.org/spreadsheetml/2006/main" count="1062" uniqueCount="128">
  <si>
    <t>Les résultats du tableau sont des ratios d'aire.</t>
  </si>
  <si>
    <t>ND = Non détecté</t>
  </si>
  <si>
    <t>Sample Name</t>
  </si>
  <si>
    <t>5HTP</t>
  </si>
  <si>
    <t>Adénosine</t>
  </si>
  <si>
    <t>Adrénaline</t>
  </si>
  <si>
    <t>Dopamine</t>
  </si>
  <si>
    <t>GABA</t>
  </si>
  <si>
    <t>Glutamate</t>
  </si>
  <si>
    <t>Kynurénine</t>
  </si>
  <si>
    <t>Noradrénaline</t>
  </si>
  <si>
    <t>Normétanéphrine</t>
  </si>
  <si>
    <t>Sérotonine</t>
  </si>
  <si>
    <t>Tryptophane</t>
  </si>
  <si>
    <t>Tyramine</t>
  </si>
  <si>
    <t>Tyrosine</t>
  </si>
  <si>
    <t>PFC</t>
  </si>
  <si>
    <t>x</t>
  </si>
  <si>
    <t>Projet</t>
  </si>
  <si>
    <t>Cohort</t>
  </si>
  <si>
    <t>Group</t>
  </si>
  <si>
    <t>Cage</t>
  </si>
  <si>
    <t>ID</t>
  </si>
  <si>
    <t>ID.2</t>
  </si>
  <si>
    <t>VEAVE</t>
  </si>
  <si>
    <t>CONT</t>
  </si>
  <si>
    <t>male</t>
  </si>
  <si>
    <t>female</t>
  </si>
  <si>
    <t>LBN</t>
  </si>
  <si>
    <t>Sex</t>
  </si>
  <si>
    <t>Area</t>
  </si>
  <si>
    <t>HIP</t>
  </si>
  <si>
    <t>HPC</t>
  </si>
  <si>
    <t>Glutamine</t>
  </si>
  <si>
    <t>10-1_</t>
  </si>
  <si>
    <t>ND</t>
  </si>
  <si>
    <t>10-2_</t>
  </si>
  <si>
    <t>10-3_</t>
  </si>
  <si>
    <t>10-4_</t>
  </si>
  <si>
    <t>10-6_</t>
  </si>
  <si>
    <t>11-2_</t>
  </si>
  <si>
    <t>11-3_</t>
  </si>
  <si>
    <t>11-4_</t>
  </si>
  <si>
    <t>11-6_</t>
  </si>
  <si>
    <t>11-7_</t>
  </si>
  <si>
    <t>12-2.5_</t>
  </si>
  <si>
    <t>12-3.5_</t>
  </si>
  <si>
    <t>12-7_</t>
  </si>
  <si>
    <t>13-1_</t>
  </si>
  <si>
    <t>13-2_</t>
  </si>
  <si>
    <t>14-4_</t>
  </si>
  <si>
    <t>14-5_</t>
  </si>
  <si>
    <t>14-6_</t>
  </si>
  <si>
    <t>15-1_</t>
  </si>
  <si>
    <t>15-2_</t>
  </si>
  <si>
    <t>15-4_</t>
  </si>
  <si>
    <t>16-3_</t>
  </si>
  <si>
    <t>16-5_</t>
  </si>
  <si>
    <t>16-6_</t>
  </si>
  <si>
    <t>17-1_</t>
  </si>
  <si>
    <t>17-3_</t>
  </si>
  <si>
    <t>17-5_</t>
  </si>
  <si>
    <t>17-6_</t>
  </si>
  <si>
    <t>18-1_</t>
  </si>
  <si>
    <t>18-2_</t>
  </si>
  <si>
    <t>18-3_</t>
  </si>
  <si>
    <t>18-7_</t>
  </si>
  <si>
    <t>19-2_</t>
  </si>
  <si>
    <t>19-5_</t>
  </si>
  <si>
    <t>19-6.4_</t>
  </si>
  <si>
    <t>19-6_</t>
  </si>
  <si>
    <t>19-8.4_</t>
  </si>
  <si>
    <t>20-2_</t>
  </si>
  <si>
    <t>20-5_</t>
  </si>
  <si>
    <t>21-3_</t>
  </si>
  <si>
    <t>21-4_</t>
  </si>
  <si>
    <t>21-6_</t>
  </si>
  <si>
    <t>21-7_</t>
  </si>
  <si>
    <t>GABA, Glu, Gln sur ech dilués</t>
  </si>
  <si>
    <t>2ème transition</t>
  </si>
  <si>
    <t>Les chromatogrammes obtenus pour le 5-hydroxytryptophane (5-HTP) sont jugés peu qualitatifs, ce qui pourrait avoir un impact sur le traitement des données</t>
  </si>
  <si>
    <t>From report:</t>
  </si>
  <si>
    <t>Cohorte 3</t>
  </si>
  <si>
    <t>11-3</t>
  </si>
  <si>
    <t>11-2</t>
  </si>
  <si>
    <t>11-4</t>
  </si>
  <si>
    <t>21-3</t>
  </si>
  <si>
    <t>21-7</t>
  </si>
  <si>
    <t>16-3</t>
  </si>
  <si>
    <t>16-6</t>
  </si>
  <si>
    <t>16-5</t>
  </si>
  <si>
    <t>21-6</t>
  </si>
  <si>
    <t>21-4</t>
  </si>
  <si>
    <t>18-2</t>
  </si>
  <si>
    <t>18-3</t>
  </si>
  <si>
    <t>18-1</t>
  </si>
  <si>
    <t>18-7</t>
  </si>
  <si>
    <t>Female</t>
  </si>
  <si>
    <t>20-5</t>
  </si>
  <si>
    <t>20-2</t>
  </si>
  <si>
    <t>Male</t>
  </si>
  <si>
    <t>13-1</t>
  </si>
  <si>
    <t>13-2</t>
  </si>
  <si>
    <t>17-3</t>
  </si>
  <si>
    <t>17-6</t>
  </si>
  <si>
    <t>17-5</t>
  </si>
  <si>
    <t>17-1</t>
  </si>
  <si>
    <t>14-4</t>
  </si>
  <si>
    <t>14-6</t>
  </si>
  <si>
    <t>14-5</t>
  </si>
  <si>
    <t>12-3.5</t>
  </si>
  <si>
    <t>12-7</t>
  </si>
  <si>
    <t>12-2.5</t>
  </si>
  <si>
    <t>19-6.4</t>
  </si>
  <si>
    <t>19-2</t>
  </si>
  <si>
    <t>19-8.4</t>
  </si>
  <si>
    <t>10-2</t>
  </si>
  <si>
    <t>10-3</t>
  </si>
  <si>
    <t>19-6</t>
  </si>
  <si>
    <t>19-5</t>
  </si>
  <si>
    <t>11-6</t>
  </si>
  <si>
    <t>11-7</t>
  </si>
  <si>
    <t>15-2</t>
  </si>
  <si>
    <t>15-1</t>
  </si>
  <si>
    <t>15-4</t>
  </si>
  <si>
    <t>10-1</t>
  </si>
  <si>
    <t>10-6</t>
  </si>
  <si>
    <t>10-4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</si>
</sst>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b/>
      <u/>
      <sz val="14"/>
      <name val="Calibri"/>
      <family val="2"/>
      <scheme val="minor"/>
    </font>
    <font>
      <sz val="12"/>
      <name val="Calibri"/>
      <family val="2"/>
      <scheme val="minor"/>
    </font>
    <font>
      <sz val="10"/>
      <color theme="1"/>
      <name val="Calibri"/>
      <scheme val="minor"/>
    </font>
    <font>
      <sz val="12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0FAF5"/>
        <bgColor rgb="FFD0FAF5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9">
    <xf numFmtId="0" fontId="0" fillId="0" borderId="0" xfId="0"/>
    <xf numFmtId="11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1" fontId="0" fillId="0" borderId="3" xfId="0" applyNumberFormat="1" applyBorder="1" applyAlignment="1">
      <alignment horizontal="center" vertical="center"/>
    </xf>
    <xf numFmtId="11" fontId="0" fillId="0" borderId="7" xfId="0" applyNumberFormat="1" applyBorder="1" applyAlignment="1">
      <alignment horizontal="center" vertical="center"/>
    </xf>
    <xf numFmtId="11" fontId="0" fillId="0" borderId="8" xfId="0" applyNumberForma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11" fontId="5" fillId="0" borderId="2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1" fontId="0" fillId="0" borderId="0" xfId="0" applyNumberFormat="1" applyAlignment="1">
      <alignment horizontal="center" vertical="center"/>
    </xf>
    <xf numFmtId="0" fontId="7" fillId="0" borderId="0" xfId="0" applyFont="1" applyFill="1" applyBorder="1" applyAlignment="1">
      <alignment vertical="top" wrapText="1"/>
    </xf>
    <xf numFmtId="0" fontId="7" fillId="0" borderId="0" xfId="0" applyFont="1" applyBorder="1" applyAlignment="1">
      <alignment vertical="top" wrapText="1"/>
    </xf>
    <xf numFmtId="11" fontId="0" fillId="0" borderId="5" xfId="0" applyNumberFormat="1" applyBorder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49" fontId="3" fillId="0" borderId="1" xfId="0" applyNumberFormat="1" applyFont="1" applyBorder="1" applyAlignment="1">
      <alignment horizontal="center" vertical="center"/>
    </xf>
    <xf numFmtId="49" fontId="3" fillId="3" borderId="9" xfId="0" applyNumberFormat="1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 wrapText="1"/>
    </xf>
    <xf numFmtId="49" fontId="2" fillId="3" borderId="15" xfId="0" applyNumberFormat="1" applyFont="1" applyFill="1" applyBorder="1" applyAlignment="1">
      <alignment horizontal="center" vertical="center"/>
    </xf>
    <xf numFmtId="49" fontId="2" fillId="3" borderId="13" xfId="0" applyNumberFormat="1" applyFont="1" applyFill="1" applyBorder="1" applyAlignment="1">
      <alignment horizontal="center" vertical="center"/>
    </xf>
    <xf numFmtId="0" fontId="1" fillId="0" borderId="0" xfId="0" applyFont="1"/>
    <xf numFmtId="0" fontId="3" fillId="0" borderId="0" xfId="0" applyFont="1" applyAlignment="1">
      <alignment vertical="center"/>
    </xf>
    <xf numFmtId="49" fontId="2" fillId="3" borderId="14" xfId="0" applyNumberFormat="1" applyFont="1" applyFill="1" applyBorder="1" applyAlignment="1">
      <alignment horizontal="center" vertical="center"/>
    </xf>
    <xf numFmtId="49" fontId="2" fillId="0" borderId="0" xfId="0" applyNumberFormat="1" applyFont="1" applyAlignment="1">
      <alignment vertical="center"/>
    </xf>
    <xf numFmtId="11" fontId="2" fillId="0" borderId="0" xfId="0" applyNumberFormat="1" applyFont="1" applyAlignment="1">
      <alignment vertical="center"/>
    </xf>
    <xf numFmtId="0" fontId="5" fillId="0" borderId="0" xfId="0" applyFont="1" applyAlignment="1">
      <alignment horizontal="left" vertical="center"/>
    </xf>
    <xf numFmtId="0" fontId="6" fillId="3" borderId="10" xfId="0" applyFont="1" applyFill="1" applyBorder="1" applyAlignment="1">
      <alignment horizontal="center" vertical="center"/>
    </xf>
    <xf numFmtId="11" fontId="5" fillId="0" borderId="1" xfId="0" applyNumberFormat="1" applyFont="1" applyBorder="1" applyAlignment="1">
      <alignment horizontal="center" vertical="center"/>
    </xf>
    <xf numFmtId="11" fontId="5" fillId="0" borderId="4" xfId="0" applyNumberFormat="1" applyFont="1" applyBorder="1" applyAlignment="1">
      <alignment horizontal="center" vertical="center"/>
    </xf>
    <xf numFmtId="11" fontId="5" fillId="0" borderId="6" xfId="0" applyNumberFormat="1" applyFont="1" applyBorder="1" applyAlignment="1">
      <alignment horizontal="center" vertical="center"/>
    </xf>
    <xf numFmtId="11" fontId="5" fillId="0" borderId="0" xfId="0" applyNumberFormat="1" applyFon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8" fillId="0" borderId="0" xfId="0" applyFont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4" borderId="0" xfId="0" applyFont="1" applyFill="1" applyAlignment="1">
      <alignment vertical="center"/>
    </xf>
    <xf numFmtId="0" fontId="2" fillId="4" borderId="7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2" fillId="4" borderId="7" xfId="0" applyFont="1" applyFill="1" applyBorder="1" applyAlignment="1">
      <alignment vertical="center" wrapText="1"/>
    </xf>
    <xf numFmtId="0" fontId="11" fillId="0" borderId="0" xfId="0" applyFont="1" applyAlignment="1">
      <alignment vertical="top" wrapText="1"/>
    </xf>
    <xf numFmtId="0" fontId="12" fillId="0" borderId="16" xfId="0" applyFont="1" applyBorder="1" applyAlignment="1">
      <alignment horizontal="left" vertical="top" wrapText="1"/>
    </xf>
    <xf numFmtId="0" fontId="12" fillId="5" borderId="16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vertical="top" wrapText="1"/>
    </xf>
    <xf numFmtId="0" fontId="2" fillId="0" borderId="0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49" fontId="2" fillId="0" borderId="0" xfId="0" applyNumberFormat="1" applyFont="1" applyFill="1" applyBorder="1" applyAlignment="1">
      <alignment horizontal="center" vertical="center"/>
    </xf>
    <xf numFmtId="11" fontId="2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/>
    <xf numFmtId="0" fontId="2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/>
    <xf numFmtId="49" fontId="2" fillId="0" borderId="0" xfId="0" applyNumberFormat="1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89AD2-6DDF-41AD-9B94-AD5DF31E3C1A}">
  <dimension ref="A1:AM76"/>
  <sheetViews>
    <sheetView topLeftCell="D16" zoomScale="85" zoomScaleNormal="85" workbookViewId="0">
      <selection activeCell="M53" sqref="M53"/>
    </sheetView>
  </sheetViews>
  <sheetFormatPr baseColWidth="10" defaultColWidth="11.42578125" defaultRowHeight="15" x14ac:dyDescent="0.25"/>
  <cols>
    <col min="1" max="1" width="16.42578125" style="28" customWidth="1"/>
    <col min="2" max="2" width="10.28515625" style="12" bestFit="1" customWidth="1"/>
    <col min="3" max="3" width="13.5703125" style="7" bestFit="1" customWidth="1"/>
    <col min="4" max="4" width="13.85546875" style="7" bestFit="1" customWidth="1"/>
    <col min="5" max="5" width="13" style="7" bestFit="1" customWidth="1"/>
    <col min="6" max="6" width="21.5703125" style="7" bestFit="1" customWidth="1"/>
    <col min="7" max="7" width="13.42578125" style="7" bestFit="1" customWidth="1"/>
    <col min="8" max="8" width="18.7109375" style="7" bestFit="1" customWidth="1"/>
    <col min="9" max="9" width="14.42578125" style="7" bestFit="1" customWidth="1"/>
    <col min="10" max="10" width="17.42578125" style="7" bestFit="1" customWidth="1"/>
    <col min="11" max="11" width="21.140625" style="7" bestFit="1" customWidth="1"/>
    <col min="12" max="12" width="14" style="7" bestFit="1" customWidth="1"/>
    <col min="13" max="13" width="16" style="7" bestFit="1" customWidth="1"/>
    <col min="14" max="14" width="12" style="7" bestFit="1" customWidth="1"/>
    <col min="15" max="15" width="15.7109375" style="7" bestFit="1" customWidth="1"/>
    <col min="16" max="16" width="10.28515625" style="12" bestFit="1" customWidth="1"/>
    <col min="17" max="17" width="13.5703125" style="7" bestFit="1" customWidth="1"/>
    <col min="18" max="18" width="13.85546875" style="7" bestFit="1" customWidth="1"/>
    <col min="19" max="19" width="13" style="7" bestFit="1" customWidth="1"/>
    <col min="20" max="20" width="10.5703125" style="7" bestFit="1" customWidth="1"/>
    <col min="21" max="21" width="13.42578125" style="7" bestFit="1" customWidth="1"/>
    <col min="22" max="22" width="14.42578125" style="7" customWidth="1"/>
    <col min="23" max="23" width="14.42578125" style="7" bestFit="1" customWidth="1"/>
    <col min="24" max="24" width="17.42578125" style="7" bestFit="1" customWidth="1"/>
    <col min="25" max="25" width="21.140625" style="7" bestFit="1" customWidth="1"/>
    <col min="26" max="26" width="14" style="7" bestFit="1" customWidth="1"/>
    <col min="27" max="27" width="16" style="7" bestFit="1" customWidth="1"/>
    <col min="28" max="28" width="12" style="7" bestFit="1" customWidth="1"/>
    <col min="29" max="29" width="11.42578125" style="7"/>
    <col min="30" max="30" width="3" style="7" customWidth="1"/>
    <col min="31" max="38" width="10.42578125" style="7" customWidth="1"/>
    <col min="39" max="16384" width="11.42578125" style="7"/>
  </cols>
  <sheetData>
    <row r="1" spans="1:30" ht="18.75" x14ac:dyDescent="0.25">
      <c r="A1" s="62" t="s">
        <v>24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</row>
    <row r="2" spans="1:30" x14ac:dyDescent="0.25">
      <c r="A2" s="17" t="s">
        <v>0</v>
      </c>
      <c r="B2" s="30"/>
      <c r="C2" s="6"/>
      <c r="D2" s="6"/>
      <c r="G2" s="6"/>
      <c r="I2" s="6"/>
      <c r="J2" s="6"/>
      <c r="K2" s="6"/>
      <c r="L2" s="6"/>
      <c r="M2" s="6"/>
      <c r="N2" s="6"/>
      <c r="O2" s="6"/>
      <c r="V2" s="18"/>
    </row>
    <row r="3" spans="1:30" ht="15.75" x14ac:dyDescent="0.25">
      <c r="A3" s="17"/>
      <c r="B3" s="30" t="s">
        <v>81</v>
      </c>
      <c r="C3" s="6"/>
      <c r="D3" s="6"/>
      <c r="E3" s="8" t="s">
        <v>1</v>
      </c>
      <c r="F3" s="8"/>
      <c r="G3" s="6"/>
      <c r="H3" s="19"/>
      <c r="I3" s="6"/>
      <c r="J3" s="6"/>
      <c r="K3" s="6"/>
      <c r="L3" s="6"/>
      <c r="M3" s="6"/>
      <c r="N3" s="6"/>
      <c r="O3" s="6"/>
      <c r="P3" s="30" t="s">
        <v>81</v>
      </c>
      <c r="V3" s="6"/>
    </row>
    <row r="4" spans="1:30" ht="16.5" thickBot="1" x14ac:dyDescent="0.3">
      <c r="A4" s="17"/>
      <c r="B4" s="30" t="s">
        <v>80</v>
      </c>
      <c r="C4" s="6"/>
      <c r="D4" s="6"/>
      <c r="E4" s="8"/>
      <c r="F4" s="8"/>
      <c r="G4" s="6"/>
      <c r="H4" s="19"/>
      <c r="I4" s="6"/>
      <c r="J4" s="6"/>
      <c r="K4" s="6"/>
      <c r="L4" s="6"/>
      <c r="M4" s="6"/>
      <c r="N4" s="6"/>
      <c r="O4" s="6"/>
      <c r="P4" s="30" t="s">
        <v>80</v>
      </c>
      <c r="V4" s="6"/>
    </row>
    <row r="5" spans="1:30" ht="19.5" thickBot="1" x14ac:dyDescent="0.3">
      <c r="A5" s="20"/>
      <c r="B5" s="63" t="s">
        <v>16</v>
      </c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5"/>
      <c r="P5" s="63" t="s">
        <v>32</v>
      </c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5"/>
    </row>
    <row r="6" spans="1:30" ht="15.75" thickBot="1" x14ac:dyDescent="0.3">
      <c r="A6" s="21" t="s">
        <v>2</v>
      </c>
      <c r="B6" s="31" t="s">
        <v>3</v>
      </c>
      <c r="C6" s="9" t="s">
        <v>4</v>
      </c>
      <c r="D6" s="9" t="s">
        <v>5</v>
      </c>
      <c r="E6" s="9" t="s">
        <v>6</v>
      </c>
      <c r="F6" s="9" t="s">
        <v>7</v>
      </c>
      <c r="G6" s="9" t="s">
        <v>8</v>
      </c>
      <c r="H6" s="22" t="s">
        <v>33</v>
      </c>
      <c r="I6" s="9" t="s">
        <v>9</v>
      </c>
      <c r="J6" s="9" t="s">
        <v>10</v>
      </c>
      <c r="K6" s="9" t="s">
        <v>11</v>
      </c>
      <c r="L6" s="9" t="s">
        <v>12</v>
      </c>
      <c r="M6" s="9" t="s">
        <v>13</v>
      </c>
      <c r="N6" s="9" t="s">
        <v>14</v>
      </c>
      <c r="O6" s="10" t="s">
        <v>15</v>
      </c>
      <c r="P6" s="31" t="s">
        <v>3</v>
      </c>
      <c r="Q6" s="9" t="s">
        <v>4</v>
      </c>
      <c r="R6" s="9" t="s">
        <v>5</v>
      </c>
      <c r="S6" s="9" t="s">
        <v>6</v>
      </c>
      <c r="T6" s="9" t="s">
        <v>7</v>
      </c>
      <c r="U6" s="9" t="s">
        <v>8</v>
      </c>
      <c r="V6" s="22" t="s">
        <v>33</v>
      </c>
      <c r="W6" s="9" t="s">
        <v>9</v>
      </c>
      <c r="X6" s="9" t="s">
        <v>10</v>
      </c>
      <c r="Y6" s="9" t="s">
        <v>11</v>
      </c>
      <c r="Z6" s="9" t="s">
        <v>12</v>
      </c>
      <c r="AA6" s="9" t="s">
        <v>13</v>
      </c>
      <c r="AB6" s="9" t="s">
        <v>14</v>
      </c>
      <c r="AC6" s="10" t="s">
        <v>15</v>
      </c>
    </row>
    <row r="7" spans="1:30" x14ac:dyDescent="0.25">
      <c r="A7" s="23" t="s">
        <v>34</v>
      </c>
      <c r="B7" s="32">
        <v>5.4200000000000003E-3</v>
      </c>
      <c r="C7" s="1">
        <v>1.7929999999999999</v>
      </c>
      <c r="D7" s="66" t="s">
        <v>35</v>
      </c>
      <c r="E7" s="1">
        <v>3.074E-2</v>
      </c>
      <c r="F7" s="1">
        <v>4.47</v>
      </c>
      <c r="G7" s="1">
        <v>4.0039999999999996</v>
      </c>
      <c r="H7" s="1">
        <v>0.27089999999999997</v>
      </c>
      <c r="I7" s="1">
        <v>1.418E-3</v>
      </c>
      <c r="J7" s="1">
        <v>3.097</v>
      </c>
      <c r="K7" s="1">
        <v>1.216</v>
      </c>
      <c r="L7" s="1">
        <v>5.6189999999999997E-2</v>
      </c>
      <c r="M7" s="1">
        <v>0.3085</v>
      </c>
      <c r="N7" s="1">
        <v>9.2630000000000004E-3</v>
      </c>
      <c r="O7" s="3">
        <v>2.2029999999999998</v>
      </c>
      <c r="P7" s="11">
        <v>4.7349999999999996E-3</v>
      </c>
      <c r="Q7" s="1">
        <v>2.9060000000000001</v>
      </c>
      <c r="R7" s="66" t="s">
        <v>35</v>
      </c>
      <c r="S7" s="1">
        <v>8.2529999999999999E-3</v>
      </c>
      <c r="T7" s="1">
        <v>10.28</v>
      </c>
      <c r="U7" s="1">
        <v>5.1280000000000001</v>
      </c>
      <c r="V7" s="1">
        <v>0.35420000000000001</v>
      </c>
      <c r="W7" s="1">
        <v>1.6459999999999999E-3</v>
      </c>
      <c r="X7" s="1">
        <v>4.6559999999999997</v>
      </c>
      <c r="Y7" s="1">
        <v>2.1680000000000001</v>
      </c>
      <c r="Z7" s="1">
        <v>5.3629999999999997E-2</v>
      </c>
      <c r="AA7" s="1">
        <v>0.50509999999999999</v>
      </c>
      <c r="AB7" s="2" t="s">
        <v>35</v>
      </c>
      <c r="AC7" s="3">
        <v>1.2549999999999999</v>
      </c>
      <c r="AD7"/>
    </row>
    <row r="8" spans="1:30" x14ac:dyDescent="0.25">
      <c r="A8" s="24" t="s">
        <v>36</v>
      </c>
      <c r="B8" s="33">
        <v>8.5850000000000006E-3</v>
      </c>
      <c r="C8" s="13">
        <v>1.9059999999999999</v>
      </c>
      <c r="D8" s="67"/>
      <c r="E8" s="13">
        <v>3.4509999999999999E-2</v>
      </c>
      <c r="F8" s="13">
        <v>6.681</v>
      </c>
      <c r="G8" s="13">
        <v>4.9349999999999996</v>
      </c>
      <c r="H8" s="13">
        <v>0.29010000000000002</v>
      </c>
      <c r="I8" s="13">
        <v>1.513E-3</v>
      </c>
      <c r="J8" s="13">
        <v>3.1749999999999998</v>
      </c>
      <c r="K8" s="13">
        <v>1.9450000000000001</v>
      </c>
      <c r="L8" s="13">
        <v>6.9589999999999999E-2</v>
      </c>
      <c r="M8" s="13">
        <v>0.42670000000000002</v>
      </c>
      <c r="N8" s="13">
        <v>8.4539999999999997E-3</v>
      </c>
      <c r="O8" s="16">
        <v>1.901</v>
      </c>
      <c r="P8" s="35">
        <v>6.1640000000000002E-3</v>
      </c>
      <c r="Q8" s="13">
        <v>2.0609999999999999</v>
      </c>
      <c r="R8" s="67"/>
      <c r="S8" s="13">
        <v>2.503E-2</v>
      </c>
      <c r="T8" s="13">
        <v>9.4909999999999997</v>
      </c>
      <c r="U8" s="13">
        <v>5.31</v>
      </c>
      <c r="V8" s="13">
        <v>0.31090000000000001</v>
      </c>
      <c r="W8" s="13">
        <v>1.261E-3</v>
      </c>
      <c r="X8" s="13">
        <v>5.35</v>
      </c>
      <c r="Y8" s="13">
        <v>1.9330000000000001</v>
      </c>
      <c r="Z8" s="13">
        <v>2.4369999999999999E-2</v>
      </c>
      <c r="AA8" s="13">
        <v>0.4335</v>
      </c>
      <c r="AB8" s="13">
        <v>1.023E-2</v>
      </c>
      <c r="AC8" s="16">
        <v>2.5619999999999998</v>
      </c>
      <c r="AD8"/>
    </row>
    <row r="9" spans="1:30" x14ac:dyDescent="0.25">
      <c r="A9" s="24" t="s">
        <v>37</v>
      </c>
      <c r="B9" s="33">
        <v>9.2739999999999993E-3</v>
      </c>
      <c r="C9" s="13">
        <v>2.008</v>
      </c>
      <c r="D9" s="67"/>
      <c r="E9" s="13">
        <v>2.0119999999999999E-2</v>
      </c>
      <c r="F9" s="13">
        <v>9.0559999999999992</v>
      </c>
      <c r="G9" s="13">
        <v>4.8419999999999996</v>
      </c>
      <c r="H9" s="13">
        <v>0.30020000000000002</v>
      </c>
      <c r="I9" s="13">
        <v>1.5269999999999999E-3</v>
      </c>
      <c r="J9" s="13">
        <v>2.5640000000000001</v>
      </c>
      <c r="K9" s="13">
        <v>2.81</v>
      </c>
      <c r="L9" s="13">
        <v>5.5660000000000001E-2</v>
      </c>
      <c r="M9" s="13">
        <v>0.48010000000000003</v>
      </c>
      <c r="N9" s="13">
        <v>1.1979999999999999E-2</v>
      </c>
      <c r="O9" s="16">
        <v>3.0369999999999999</v>
      </c>
      <c r="P9" s="35">
        <v>7.6270000000000001E-3</v>
      </c>
      <c r="Q9" s="13">
        <v>1.6339999999999999</v>
      </c>
      <c r="R9" s="67"/>
      <c r="S9" s="13">
        <v>9.4939999999999997E-2</v>
      </c>
      <c r="T9" s="13">
        <v>10.81</v>
      </c>
      <c r="U9" s="13">
        <v>5.8070000000000004</v>
      </c>
      <c r="V9" s="13">
        <v>0.34320000000000001</v>
      </c>
      <c r="W9" s="13">
        <v>1.761E-3</v>
      </c>
      <c r="X9" s="13">
        <v>5.1740000000000004</v>
      </c>
      <c r="Y9" s="13">
        <v>2.3889999999999998</v>
      </c>
      <c r="Z9" s="13">
        <v>4.9579999999999999E-2</v>
      </c>
      <c r="AA9" s="13">
        <v>0.3639</v>
      </c>
      <c r="AB9" s="13">
        <v>9.4190000000000003E-3</v>
      </c>
      <c r="AC9" s="16">
        <v>2.629</v>
      </c>
      <c r="AD9"/>
    </row>
    <row r="10" spans="1:30" x14ac:dyDescent="0.25">
      <c r="A10" s="24" t="s">
        <v>38</v>
      </c>
      <c r="B10" s="33">
        <v>5.3119999999999999E-3</v>
      </c>
      <c r="C10" s="13">
        <v>1.9890000000000001</v>
      </c>
      <c r="D10" s="67"/>
      <c r="E10" s="13">
        <v>3.5380000000000002E-2</v>
      </c>
      <c r="F10" s="13">
        <v>5.5940000000000003</v>
      </c>
      <c r="G10" s="13">
        <v>4.1360000000000001</v>
      </c>
      <c r="H10" s="13">
        <v>0.29559999999999997</v>
      </c>
      <c r="I10" s="13">
        <v>1.833E-3</v>
      </c>
      <c r="J10" s="13">
        <v>3.1389999999999998</v>
      </c>
      <c r="K10" s="13">
        <v>1.595</v>
      </c>
      <c r="L10" s="13">
        <v>3.6549999999999999E-2</v>
      </c>
      <c r="M10" s="13">
        <v>0.4587</v>
      </c>
      <c r="N10" s="13">
        <v>9.2320000000000006E-3</v>
      </c>
      <c r="O10" s="16">
        <v>2.367</v>
      </c>
      <c r="P10" s="35">
        <v>5.829E-3</v>
      </c>
      <c r="Q10" s="13">
        <v>2.2269999999999999</v>
      </c>
      <c r="R10" s="67"/>
      <c r="S10" s="13">
        <v>1.2500000000000001E-2</v>
      </c>
      <c r="T10" s="13">
        <v>8.7949999999999999</v>
      </c>
      <c r="U10" s="13">
        <v>4.7569999999999997</v>
      </c>
      <c r="V10" s="13">
        <v>0.3372</v>
      </c>
      <c r="W10" s="13">
        <v>1.6930000000000001E-3</v>
      </c>
      <c r="X10" s="13">
        <v>4.6479999999999997</v>
      </c>
      <c r="Y10" s="13">
        <v>1.9419999999999999</v>
      </c>
      <c r="Z10" s="13">
        <v>4.299E-2</v>
      </c>
      <c r="AA10" s="13">
        <v>0.56120000000000003</v>
      </c>
      <c r="AB10" s="13">
        <v>1.611E-3</v>
      </c>
      <c r="AC10" s="16">
        <v>2.165</v>
      </c>
      <c r="AD10"/>
    </row>
    <row r="11" spans="1:30" x14ac:dyDescent="0.25">
      <c r="A11" s="24" t="s">
        <v>39</v>
      </c>
      <c r="B11" s="33">
        <v>7.3020000000000003E-3</v>
      </c>
      <c r="C11" s="13">
        <v>1.6919999999999999</v>
      </c>
      <c r="D11" s="67"/>
      <c r="E11" s="13">
        <v>2.1499999999999998E-2</v>
      </c>
      <c r="F11" s="13">
        <v>5.125</v>
      </c>
      <c r="G11" s="13">
        <v>3.7869999999999999</v>
      </c>
      <c r="H11" s="13">
        <v>0.2525</v>
      </c>
      <c r="I11" s="13">
        <v>9.9050000000000006E-4</v>
      </c>
      <c r="J11" s="13">
        <v>2.9969999999999999</v>
      </c>
      <c r="K11" s="13">
        <v>1.5429999999999999</v>
      </c>
      <c r="L11" s="13">
        <v>5.1909999999999998E-2</v>
      </c>
      <c r="M11" s="13">
        <v>0.37080000000000002</v>
      </c>
      <c r="N11" s="13">
        <v>8.4169999999999991E-3</v>
      </c>
      <c r="O11" s="16">
        <v>2.5910000000000002</v>
      </c>
      <c r="P11" s="35">
        <v>4.5820000000000001E-3</v>
      </c>
      <c r="Q11" s="13">
        <v>2.1859999999999999</v>
      </c>
      <c r="R11" s="67"/>
      <c r="S11" s="13">
        <v>1.2999999999999999E-2</v>
      </c>
      <c r="T11" s="13">
        <v>7.9420000000000002</v>
      </c>
      <c r="U11" s="13">
        <v>4.5369999999999999</v>
      </c>
      <c r="V11" s="13">
        <v>0.2883</v>
      </c>
      <c r="W11" s="13">
        <v>1.235E-3</v>
      </c>
      <c r="X11" s="13">
        <v>4.2009999999999996</v>
      </c>
      <c r="Y11" s="13">
        <v>2.0449999999999999</v>
      </c>
      <c r="Z11" s="13">
        <v>4.8930000000000001E-2</v>
      </c>
      <c r="AA11" s="13">
        <v>0.37840000000000001</v>
      </c>
      <c r="AB11" s="13">
        <v>1.094E-2</v>
      </c>
      <c r="AC11" s="16">
        <v>2.6909999999999998</v>
      </c>
    </row>
    <row r="12" spans="1:30" x14ac:dyDescent="0.25">
      <c r="A12" s="24" t="s">
        <v>40</v>
      </c>
      <c r="B12" s="33">
        <v>2.9659999999999999E-3</v>
      </c>
      <c r="C12" s="13">
        <v>3.06</v>
      </c>
      <c r="D12" s="67"/>
      <c r="E12" s="13">
        <v>2.7910000000000001E-2</v>
      </c>
      <c r="F12" s="13">
        <v>12.31</v>
      </c>
      <c r="G12" s="13">
        <v>4.0469999999999997</v>
      </c>
      <c r="H12" s="13">
        <v>0.33910000000000001</v>
      </c>
      <c r="I12" s="13">
        <v>1.1069999999999999E-3</v>
      </c>
      <c r="J12" s="13">
        <v>2.8260000000000001</v>
      </c>
      <c r="K12" s="13">
        <v>3.6680000000000001</v>
      </c>
      <c r="L12" s="13">
        <v>4.2099999999999999E-2</v>
      </c>
      <c r="M12" s="13">
        <v>0.41220000000000001</v>
      </c>
      <c r="N12" s="13">
        <v>5.8110000000000002E-3</v>
      </c>
      <c r="O12" s="16">
        <v>2.6779999999999999</v>
      </c>
      <c r="P12" s="35">
        <v>4.4209999999999996E-3</v>
      </c>
      <c r="Q12" s="13">
        <v>3.798</v>
      </c>
      <c r="R12" s="67"/>
      <c r="S12" s="13">
        <v>1.1820000000000001E-2</v>
      </c>
      <c r="T12" s="13">
        <v>8.8889999999999993</v>
      </c>
      <c r="U12" s="13">
        <v>3.7519999999999998</v>
      </c>
      <c r="V12" s="13">
        <v>0.33119999999999999</v>
      </c>
      <c r="W12" s="13">
        <v>1.4519999999999999E-3</v>
      </c>
      <c r="X12" s="13">
        <v>4.0250000000000004</v>
      </c>
      <c r="Y12" s="13">
        <v>2.57</v>
      </c>
      <c r="Z12" s="13">
        <v>2.3089999999999999E-2</v>
      </c>
      <c r="AA12" s="13">
        <v>0.52159999999999995</v>
      </c>
      <c r="AB12" s="13">
        <v>4.7840000000000001E-3</v>
      </c>
      <c r="AC12" s="16">
        <v>2.597</v>
      </c>
    </row>
    <row r="13" spans="1:30" x14ac:dyDescent="0.25">
      <c r="A13" s="24" t="s">
        <v>41</v>
      </c>
      <c r="B13" s="33">
        <v>2.8389999999999999E-3</v>
      </c>
      <c r="C13" s="13">
        <v>2.746</v>
      </c>
      <c r="D13" s="67"/>
      <c r="E13" s="13">
        <v>2.0920000000000001E-2</v>
      </c>
      <c r="F13" s="13">
        <v>10.06</v>
      </c>
      <c r="G13" s="13">
        <v>4.1550000000000002</v>
      </c>
      <c r="H13" s="13">
        <v>0.34260000000000002</v>
      </c>
      <c r="I13" s="13">
        <v>1.284E-3</v>
      </c>
      <c r="J13" s="13">
        <v>2.1230000000000002</v>
      </c>
      <c r="K13" s="13">
        <v>3.0209999999999999</v>
      </c>
      <c r="L13" s="13">
        <v>2.8840000000000001E-2</v>
      </c>
      <c r="M13" s="13">
        <v>0.36330000000000001</v>
      </c>
      <c r="N13" s="13">
        <v>8.3289999999999996E-3</v>
      </c>
      <c r="O13" s="16">
        <v>2.1909999999999998</v>
      </c>
      <c r="P13" s="35">
        <v>5.0790000000000002E-3</v>
      </c>
      <c r="Q13" s="13">
        <v>2.96</v>
      </c>
      <c r="R13" s="67"/>
      <c r="S13" s="13">
        <v>1.2019999999999999E-2</v>
      </c>
      <c r="T13" s="13">
        <v>8.6219999999999999</v>
      </c>
      <c r="U13" s="13">
        <v>4.0780000000000003</v>
      </c>
      <c r="V13" s="13">
        <v>0.40210000000000001</v>
      </c>
      <c r="W13" s="13">
        <v>1.7600000000000001E-3</v>
      </c>
      <c r="X13" s="13">
        <v>5.3479999999999999</v>
      </c>
      <c r="Y13" s="13">
        <v>2.6040000000000001</v>
      </c>
      <c r="Z13" s="13">
        <v>3.6799999999999999E-2</v>
      </c>
      <c r="AA13" s="13">
        <v>0.46860000000000002</v>
      </c>
      <c r="AB13" s="13">
        <v>3.2820000000000002E-3</v>
      </c>
      <c r="AC13" s="16">
        <v>2.2949999999999999</v>
      </c>
    </row>
    <row r="14" spans="1:30" x14ac:dyDescent="0.25">
      <c r="A14" s="24" t="s">
        <v>42</v>
      </c>
      <c r="B14" s="33">
        <v>6.8129999999999996E-3</v>
      </c>
      <c r="C14" s="13">
        <v>2.964</v>
      </c>
      <c r="D14" s="67"/>
      <c r="E14" s="13">
        <v>2.9020000000000001E-2</v>
      </c>
      <c r="F14" s="13">
        <v>11.57</v>
      </c>
      <c r="G14" s="13">
        <v>4.5270000000000001</v>
      </c>
      <c r="H14" s="13">
        <v>0.35060000000000002</v>
      </c>
      <c r="I14" s="13">
        <v>1.4300000000000001E-3</v>
      </c>
      <c r="J14" s="13">
        <v>2.7130000000000001</v>
      </c>
      <c r="K14" s="13">
        <v>2.6640000000000001</v>
      </c>
      <c r="L14" s="13">
        <v>4.8000000000000001E-2</v>
      </c>
      <c r="M14" s="13">
        <v>0.4652</v>
      </c>
      <c r="N14" s="13">
        <v>8.116E-3</v>
      </c>
      <c r="O14" s="16">
        <v>3.1070000000000002</v>
      </c>
      <c r="P14" s="35">
        <v>7.208E-3</v>
      </c>
      <c r="Q14" s="13">
        <v>2.6920000000000002</v>
      </c>
      <c r="R14" s="67"/>
      <c r="S14" s="13">
        <v>1.431E-2</v>
      </c>
      <c r="T14" s="13">
        <v>9.9079999999999995</v>
      </c>
      <c r="U14" s="13">
        <v>4.0739999999999998</v>
      </c>
      <c r="V14" s="13">
        <v>0.34499999999999997</v>
      </c>
      <c r="W14" s="13">
        <v>2.3349999999999998E-3</v>
      </c>
      <c r="X14" s="13">
        <v>3.8730000000000002</v>
      </c>
      <c r="Y14" s="13">
        <v>2.0939999999999999</v>
      </c>
      <c r="Z14" s="13">
        <v>4.437E-2</v>
      </c>
      <c r="AA14" s="13">
        <v>0.6371</v>
      </c>
      <c r="AB14" s="13">
        <v>6.0870000000000004E-3</v>
      </c>
      <c r="AC14" s="16">
        <v>2.6789999999999998</v>
      </c>
      <c r="AD14"/>
    </row>
    <row r="15" spans="1:30" x14ac:dyDescent="0.25">
      <c r="A15" s="24" t="s">
        <v>43</v>
      </c>
      <c r="B15" s="33">
        <v>6.2160000000000002E-3</v>
      </c>
      <c r="C15" s="13">
        <v>2.2789999999999999</v>
      </c>
      <c r="D15" s="67"/>
      <c r="E15" s="13">
        <v>1.6750000000000001E-2</v>
      </c>
      <c r="F15" s="13">
        <v>6.7089999999999996</v>
      </c>
      <c r="G15" s="13">
        <v>3.5830000000000002</v>
      </c>
      <c r="H15" s="13">
        <v>0.25540000000000002</v>
      </c>
      <c r="I15" s="13">
        <v>1.372E-3</v>
      </c>
      <c r="J15" s="13">
        <v>1.9650000000000001</v>
      </c>
      <c r="K15" s="13">
        <v>2.1440000000000001</v>
      </c>
      <c r="L15" s="13">
        <v>4.4749999999999998E-2</v>
      </c>
      <c r="M15" s="13">
        <v>0.3594</v>
      </c>
      <c r="N15" s="13">
        <v>8.8439999999999994E-3</v>
      </c>
      <c r="O15" s="16">
        <v>2.0350000000000001</v>
      </c>
      <c r="P15" s="35">
        <v>7.979E-3</v>
      </c>
      <c r="Q15" s="13">
        <v>2.4870000000000001</v>
      </c>
      <c r="R15" s="67"/>
      <c r="S15" s="13">
        <v>1.0030000000000001E-2</v>
      </c>
      <c r="T15" s="13">
        <v>8.6310000000000002</v>
      </c>
      <c r="U15" s="13">
        <v>5.2839999999999998</v>
      </c>
      <c r="V15" s="13">
        <v>0.33410000000000001</v>
      </c>
      <c r="W15" s="13">
        <v>1.748E-3</v>
      </c>
      <c r="X15" s="13">
        <v>4.9210000000000003</v>
      </c>
      <c r="Y15" s="13">
        <v>1.7490000000000001</v>
      </c>
      <c r="Z15" s="13">
        <v>4.5839999999999999E-2</v>
      </c>
      <c r="AA15" s="13">
        <v>0.45760000000000001</v>
      </c>
      <c r="AB15" s="13">
        <v>3.5000000000000001E-3</v>
      </c>
      <c r="AC15" s="16">
        <v>2.0139999999999998</v>
      </c>
      <c r="AD15"/>
    </row>
    <row r="16" spans="1:30" x14ac:dyDescent="0.25">
      <c r="A16" s="24" t="s">
        <v>44</v>
      </c>
      <c r="B16" s="33">
        <v>6.3140000000000002E-3</v>
      </c>
      <c r="C16" s="13">
        <v>2.4249999999999998</v>
      </c>
      <c r="D16" s="67"/>
      <c r="E16" s="13">
        <v>4.0489999999999998E-2</v>
      </c>
      <c r="F16" s="13">
        <v>6.694</v>
      </c>
      <c r="G16" s="13">
        <v>5.2830000000000004</v>
      </c>
      <c r="H16" s="13">
        <v>0.31359999999999999</v>
      </c>
      <c r="I16" s="13">
        <v>1.586E-3</v>
      </c>
      <c r="J16" s="13">
        <v>3.8690000000000002</v>
      </c>
      <c r="K16" s="13">
        <v>1.8560000000000001</v>
      </c>
      <c r="L16" s="13">
        <v>7.2690000000000005E-2</v>
      </c>
      <c r="M16" s="13">
        <v>0.42199999999999999</v>
      </c>
      <c r="N16" s="13">
        <v>6.7390000000000002E-3</v>
      </c>
      <c r="O16" s="16">
        <v>1.9370000000000001</v>
      </c>
      <c r="P16" s="35">
        <v>5.463E-3</v>
      </c>
      <c r="Q16" s="13">
        <v>1.9790000000000001</v>
      </c>
      <c r="R16" s="67"/>
      <c r="S16" s="13">
        <v>1.2959999999999999E-2</v>
      </c>
      <c r="T16" s="13">
        <v>7.9729999999999999</v>
      </c>
      <c r="U16" s="13">
        <v>5.5579999999999998</v>
      </c>
      <c r="V16" s="13">
        <v>0.28820000000000001</v>
      </c>
      <c r="W16" s="13">
        <v>1.6659999999999999E-3</v>
      </c>
      <c r="X16" s="13">
        <v>4.4279999999999999</v>
      </c>
      <c r="Y16" s="13">
        <v>1.8149999999999999</v>
      </c>
      <c r="Z16" s="13">
        <v>5.688E-2</v>
      </c>
      <c r="AA16" s="13">
        <v>0.34360000000000002</v>
      </c>
      <c r="AB16" s="13">
        <v>1.2529999999999999E-2</v>
      </c>
      <c r="AC16" s="16">
        <v>2.456</v>
      </c>
      <c r="AD16"/>
    </row>
    <row r="17" spans="1:38" x14ac:dyDescent="0.25">
      <c r="A17" s="24" t="s">
        <v>45</v>
      </c>
      <c r="B17" s="33">
        <v>8.4779999999999994E-3</v>
      </c>
      <c r="C17" s="13">
        <v>1.73</v>
      </c>
      <c r="D17" s="67"/>
      <c r="E17" s="13">
        <v>2.1069999999999998E-2</v>
      </c>
      <c r="F17" s="13">
        <v>6.6929999999999996</v>
      </c>
      <c r="G17" s="13">
        <v>4.8890000000000002</v>
      </c>
      <c r="H17" s="13">
        <v>0.31430000000000002</v>
      </c>
      <c r="I17" s="13">
        <v>2.1949999999999999E-3</v>
      </c>
      <c r="J17" s="13">
        <v>2.641</v>
      </c>
      <c r="K17" s="13">
        <v>2.254</v>
      </c>
      <c r="L17" s="13">
        <v>2.4709999999999999E-2</v>
      </c>
      <c r="M17" s="13">
        <v>0.52239999999999998</v>
      </c>
      <c r="N17" s="13">
        <v>7.0410000000000004E-3</v>
      </c>
      <c r="O17" s="16">
        <v>2.069</v>
      </c>
      <c r="P17" s="35">
        <v>8.3979999999999992E-3</v>
      </c>
      <c r="Q17" s="13">
        <v>1.7549999999999999</v>
      </c>
      <c r="R17" s="67"/>
      <c r="S17" s="13">
        <v>1.3860000000000001E-2</v>
      </c>
      <c r="T17" s="13">
        <v>8.516</v>
      </c>
      <c r="U17" s="13">
        <v>5.008</v>
      </c>
      <c r="V17" s="13">
        <v>0.32719999999999999</v>
      </c>
      <c r="W17" s="13">
        <v>2.5899999999999999E-3</v>
      </c>
      <c r="X17" s="13">
        <v>4.6429999999999998</v>
      </c>
      <c r="Y17" s="13">
        <v>2.1070000000000002</v>
      </c>
      <c r="Z17" s="13">
        <v>4.052E-2</v>
      </c>
      <c r="AA17" s="13">
        <v>0.51680000000000004</v>
      </c>
      <c r="AB17" s="13">
        <v>3.9249999999999997E-3</v>
      </c>
      <c r="AC17" s="16">
        <v>2.3340000000000001</v>
      </c>
    </row>
    <row r="18" spans="1:38" x14ac:dyDescent="0.25">
      <c r="A18" s="24" t="s">
        <v>46</v>
      </c>
      <c r="B18" s="33">
        <v>6.117E-3</v>
      </c>
      <c r="C18" s="13">
        <v>1.843</v>
      </c>
      <c r="D18" s="67"/>
      <c r="E18" s="13">
        <v>1.985E-2</v>
      </c>
      <c r="F18" s="13">
        <v>5.109</v>
      </c>
      <c r="G18" s="13">
        <v>4.9569999999999999</v>
      </c>
      <c r="H18" s="13">
        <v>0.32390000000000002</v>
      </c>
      <c r="I18" s="13">
        <v>1.9910000000000001E-3</v>
      </c>
      <c r="J18" s="13">
        <v>2.0129999999999999</v>
      </c>
      <c r="K18" s="13">
        <v>1.54</v>
      </c>
      <c r="L18" s="13">
        <v>4.6129999999999997E-2</v>
      </c>
      <c r="M18" s="13">
        <v>0.35370000000000001</v>
      </c>
      <c r="N18" s="13">
        <v>1.545E-2</v>
      </c>
      <c r="O18" s="16">
        <v>1.8979999999999999</v>
      </c>
      <c r="P18" s="35">
        <v>5.5539999999999999E-3</v>
      </c>
      <c r="Q18" s="13">
        <v>1.593</v>
      </c>
      <c r="R18" s="67"/>
      <c r="S18" s="13">
        <v>1.005E-2</v>
      </c>
      <c r="T18" s="13">
        <v>9.19</v>
      </c>
      <c r="U18" s="13">
        <v>5.194</v>
      </c>
      <c r="V18" s="13">
        <v>0.36009999999999998</v>
      </c>
      <c r="W18" s="13">
        <v>2.63E-3</v>
      </c>
      <c r="X18" s="13">
        <v>4.4279999999999999</v>
      </c>
      <c r="Y18" s="13">
        <v>2.0550000000000002</v>
      </c>
      <c r="Z18" s="13">
        <v>3.9109999999999999E-2</v>
      </c>
      <c r="AA18" s="13">
        <v>0.4335</v>
      </c>
      <c r="AB18" s="13">
        <v>8.7119999999999993E-3</v>
      </c>
      <c r="AC18" s="16">
        <v>2.5379999999999998</v>
      </c>
    </row>
    <row r="19" spans="1:38" x14ac:dyDescent="0.25">
      <c r="A19" s="24" t="s">
        <v>47</v>
      </c>
      <c r="B19" s="33">
        <v>1.0880000000000001E-2</v>
      </c>
      <c r="C19" s="13">
        <v>1.974</v>
      </c>
      <c r="D19" s="67"/>
      <c r="E19" s="13">
        <v>2.5760000000000002E-2</v>
      </c>
      <c r="F19" s="13">
        <v>6.8680000000000003</v>
      </c>
      <c r="G19" s="13">
        <v>4.9489999999999998</v>
      </c>
      <c r="H19" s="13">
        <v>0.34089999999999998</v>
      </c>
      <c r="I19" s="13">
        <v>2.4039999999999999E-3</v>
      </c>
      <c r="J19" s="13">
        <v>2.9060000000000001</v>
      </c>
      <c r="K19" s="13">
        <v>1.9370000000000001</v>
      </c>
      <c r="L19" s="13">
        <v>5.4510000000000003E-2</v>
      </c>
      <c r="M19" s="13">
        <v>0.54310000000000003</v>
      </c>
      <c r="N19" s="13">
        <v>8.6630000000000006E-3</v>
      </c>
      <c r="O19" s="16">
        <v>2.0840000000000001</v>
      </c>
      <c r="P19" s="35">
        <v>9.6570000000000007E-3</v>
      </c>
      <c r="Q19" s="13">
        <v>2.0790000000000002</v>
      </c>
      <c r="R19" s="67"/>
      <c r="S19" s="13">
        <v>8.0020000000000004E-3</v>
      </c>
      <c r="T19" s="13">
        <v>9.4819999999999993</v>
      </c>
      <c r="U19" s="13">
        <v>8.18</v>
      </c>
      <c r="V19" s="13">
        <v>0.44450000000000001</v>
      </c>
      <c r="W19" s="13">
        <v>2.9680000000000002E-3</v>
      </c>
      <c r="X19" s="13">
        <v>4.1420000000000003</v>
      </c>
      <c r="Y19" s="13">
        <v>1.8819999999999999</v>
      </c>
      <c r="Z19" s="13">
        <v>3.209E-2</v>
      </c>
      <c r="AA19" s="13">
        <v>0.57989999999999997</v>
      </c>
      <c r="AB19" s="13">
        <v>6.1349999999999998E-3</v>
      </c>
      <c r="AC19" s="16">
        <v>2.569</v>
      </c>
    </row>
    <row r="20" spans="1:38" x14ac:dyDescent="0.25">
      <c r="A20" s="24" t="s">
        <v>48</v>
      </c>
      <c r="B20" s="33">
        <v>5.3030000000000004E-3</v>
      </c>
      <c r="C20" s="13">
        <v>1.425</v>
      </c>
      <c r="D20" s="67"/>
      <c r="E20" s="13">
        <v>1.3129999999999999E-2</v>
      </c>
      <c r="F20" s="13">
        <v>8.1430000000000007</v>
      </c>
      <c r="G20" s="13">
        <v>3.3530000000000002</v>
      </c>
      <c r="H20" s="13">
        <v>0.57040000000000002</v>
      </c>
      <c r="I20" s="13">
        <v>1.6930000000000001E-3</v>
      </c>
      <c r="J20" s="13">
        <v>1.8149999999999999</v>
      </c>
      <c r="K20" s="13">
        <v>2.5649999999999999</v>
      </c>
      <c r="L20" s="13">
        <v>4.3099999999999999E-2</v>
      </c>
      <c r="M20" s="13">
        <v>0.53839999999999999</v>
      </c>
      <c r="N20" s="13">
        <v>6.1549999999999999E-3</v>
      </c>
      <c r="O20" s="16">
        <v>3.883</v>
      </c>
      <c r="P20" s="35">
        <v>1.0710000000000001E-2</v>
      </c>
      <c r="Q20" s="13">
        <v>3.052</v>
      </c>
      <c r="R20" s="67"/>
      <c r="S20" s="13">
        <v>2.1190000000000001E-2</v>
      </c>
      <c r="T20" s="13">
        <v>10.76</v>
      </c>
      <c r="U20" s="13">
        <v>6.5759999999999996</v>
      </c>
      <c r="V20" s="13">
        <v>1.0660000000000001</v>
      </c>
      <c r="W20" s="13">
        <v>3.8660000000000001E-3</v>
      </c>
      <c r="X20" s="13">
        <v>5.6040000000000001</v>
      </c>
      <c r="Y20" s="13">
        <v>2.7450000000000001</v>
      </c>
      <c r="Z20" s="13">
        <v>9.2549999999999993E-2</v>
      </c>
      <c r="AA20" s="13">
        <v>1.0109999999999999</v>
      </c>
      <c r="AB20" s="13">
        <v>3.7789999999999998E-3</v>
      </c>
      <c r="AC20" s="16">
        <v>1.4910000000000001</v>
      </c>
    </row>
    <row r="21" spans="1:38" x14ac:dyDescent="0.25">
      <c r="A21" s="24" t="s">
        <v>49</v>
      </c>
      <c r="B21" s="33">
        <v>4.0870000000000004E-3</v>
      </c>
      <c r="C21" s="13">
        <v>0.98089999999999999</v>
      </c>
      <c r="D21" s="67"/>
      <c r="E21" s="13">
        <v>1.453E-2</v>
      </c>
      <c r="F21" s="13">
        <v>7.7240000000000002</v>
      </c>
      <c r="G21" s="13">
        <v>2.8290000000000002</v>
      </c>
      <c r="H21" s="13">
        <v>0.2157</v>
      </c>
      <c r="I21" s="13">
        <v>1.008E-3</v>
      </c>
      <c r="J21" s="13">
        <v>1.6779999999999999</v>
      </c>
      <c r="K21" s="13">
        <v>2.6179999999999999</v>
      </c>
      <c r="L21" s="13">
        <v>3.1530000000000002E-2</v>
      </c>
      <c r="M21" s="13">
        <v>0.37040000000000001</v>
      </c>
      <c r="N21" s="13">
        <v>2.5829999999999998E-3</v>
      </c>
      <c r="O21" s="16">
        <v>1.6080000000000001</v>
      </c>
      <c r="P21" s="35">
        <v>1.093E-2</v>
      </c>
      <c r="Q21" s="13">
        <v>2.871</v>
      </c>
      <c r="R21" s="67"/>
      <c r="S21" s="13">
        <v>1.1780000000000001E-2</v>
      </c>
      <c r="T21" s="13">
        <v>10.029999999999999</v>
      </c>
      <c r="U21" s="13">
        <v>5.3639999999999999</v>
      </c>
      <c r="V21" s="13">
        <v>0.32669999999999999</v>
      </c>
      <c r="W21" s="13">
        <v>1.9719999999999998E-3</v>
      </c>
      <c r="X21" s="13">
        <v>5.274</v>
      </c>
      <c r="Y21" s="13">
        <v>2.0129999999999999</v>
      </c>
      <c r="Z21" s="13">
        <v>4.2099999999999999E-2</v>
      </c>
      <c r="AA21" s="13">
        <v>0.64349999999999996</v>
      </c>
      <c r="AB21" s="13">
        <v>3.3670000000000002E-3</v>
      </c>
      <c r="AC21" s="16">
        <v>2.1190000000000002</v>
      </c>
      <c r="AD21"/>
    </row>
    <row r="22" spans="1:38" x14ac:dyDescent="0.25">
      <c r="A22" s="24" t="s">
        <v>50</v>
      </c>
      <c r="B22" s="33">
        <v>6.5259999999999997E-3</v>
      </c>
      <c r="C22" s="13">
        <v>2.3359999999999999</v>
      </c>
      <c r="D22" s="67"/>
      <c r="E22" s="13">
        <v>1.839E-2</v>
      </c>
      <c r="F22" s="13">
        <v>11.06</v>
      </c>
      <c r="G22" s="13">
        <v>4.1859999999999999</v>
      </c>
      <c r="H22" s="13">
        <v>0.35420000000000001</v>
      </c>
      <c r="I22" s="13">
        <v>1.655E-3</v>
      </c>
      <c r="J22" s="13">
        <v>1.9139999999999999</v>
      </c>
      <c r="K22" s="13">
        <v>3.8610000000000002</v>
      </c>
      <c r="L22" s="13">
        <v>2.3769999999999999E-2</v>
      </c>
      <c r="M22" s="13">
        <v>0.57150000000000001</v>
      </c>
      <c r="N22" s="13">
        <v>9.3810000000000004E-3</v>
      </c>
      <c r="O22" s="16">
        <v>3.0219999999999998</v>
      </c>
      <c r="P22" s="35">
        <v>8.9969999999999998E-3</v>
      </c>
      <c r="Q22" s="13">
        <v>2.75</v>
      </c>
      <c r="R22" s="67"/>
      <c r="S22" s="13">
        <v>1.3690000000000001E-2</v>
      </c>
      <c r="T22" s="13">
        <v>10.1</v>
      </c>
      <c r="U22" s="13">
        <v>6.0419999999999998</v>
      </c>
      <c r="V22" s="13">
        <v>0.39429999999999998</v>
      </c>
      <c r="W22" s="13">
        <v>2.5279999999999999E-3</v>
      </c>
      <c r="X22" s="13">
        <v>6.1639999999999997</v>
      </c>
      <c r="Y22" s="13">
        <v>1.931</v>
      </c>
      <c r="Z22" s="13">
        <v>5.5879999999999999E-2</v>
      </c>
      <c r="AA22" s="13">
        <v>0.79210000000000003</v>
      </c>
      <c r="AB22" s="13">
        <v>3.3960000000000001E-3</v>
      </c>
      <c r="AC22" s="16">
        <v>1.3819999999999999</v>
      </c>
      <c r="AD22"/>
    </row>
    <row r="23" spans="1:38" x14ac:dyDescent="0.25">
      <c r="A23" s="24" t="s">
        <v>51</v>
      </c>
      <c r="B23" s="33">
        <v>1.179E-2</v>
      </c>
      <c r="C23" s="13">
        <v>2.9980000000000002</v>
      </c>
      <c r="D23" s="67"/>
      <c r="E23" s="13">
        <v>4.2369999999999998E-2</v>
      </c>
      <c r="F23" s="13">
        <v>11.94</v>
      </c>
      <c r="G23" s="13">
        <v>9.4160000000000004</v>
      </c>
      <c r="H23" s="13">
        <v>0.81369999999999998</v>
      </c>
      <c r="I23" s="13">
        <v>2.4550000000000002E-3</v>
      </c>
      <c r="J23" s="13">
        <v>2.1459999999999999</v>
      </c>
      <c r="K23" s="13">
        <v>4.0439999999999996</v>
      </c>
      <c r="L23" s="13">
        <v>9.0630000000000002E-2</v>
      </c>
      <c r="M23" s="13">
        <v>0.83560000000000001</v>
      </c>
      <c r="N23" s="13">
        <v>1.409E-2</v>
      </c>
      <c r="O23" s="16">
        <v>3.6429999999999998</v>
      </c>
      <c r="P23" s="35">
        <f>0.005483*1.5</f>
        <v>8.2244999999999992E-3</v>
      </c>
      <c r="Q23" s="13">
        <f>1.511*1.5</f>
        <v>2.2664999999999997</v>
      </c>
      <c r="R23" s="67"/>
      <c r="S23" s="13">
        <f>0.008563*1.5</f>
        <v>1.2844499999999998E-2</v>
      </c>
      <c r="T23" s="13">
        <f>7.012*1.5</f>
        <v>10.517999999999999</v>
      </c>
      <c r="U23" s="13">
        <f>3.896*1.5</f>
        <v>5.8439999999999994</v>
      </c>
      <c r="V23" s="13">
        <f>0.2548*1.5</f>
        <v>0.38220000000000004</v>
      </c>
      <c r="W23" s="13">
        <f>0.001486*1.5</f>
        <v>2.2290000000000001E-3</v>
      </c>
      <c r="X23" s="13">
        <f>3.886*1.5</f>
        <v>5.8290000000000006</v>
      </c>
      <c r="Y23" s="13">
        <f>1.337*1.5</f>
        <v>2.0055000000000001</v>
      </c>
      <c r="Z23" s="13">
        <f>0.03856*1.5</f>
        <v>5.7839999999999996E-2</v>
      </c>
      <c r="AA23" s="13">
        <f>0.515*1.5</f>
        <v>0.77249999999999996</v>
      </c>
      <c r="AB23" s="13">
        <f>0.002432*1.5</f>
        <v>3.6480000000000002E-3</v>
      </c>
      <c r="AC23" s="16">
        <f>0.8805*1.5</f>
        <v>1.3207499999999999</v>
      </c>
      <c r="AD23"/>
    </row>
    <row r="24" spans="1:38" x14ac:dyDescent="0.25">
      <c r="A24" s="24" t="s">
        <v>52</v>
      </c>
      <c r="B24" s="33">
        <v>3.7109999999999999E-3</v>
      </c>
      <c r="C24" s="13">
        <v>1.5529999999999999</v>
      </c>
      <c r="D24" s="67"/>
      <c r="E24" s="13">
        <v>1.4149999999999999E-2</v>
      </c>
      <c r="F24" s="13">
        <v>7.851</v>
      </c>
      <c r="G24" s="13">
        <v>2.835</v>
      </c>
      <c r="H24" s="13">
        <v>0.22370000000000001</v>
      </c>
      <c r="I24" s="13">
        <v>9.4339999999999995E-4</v>
      </c>
      <c r="J24" s="13">
        <v>1.714</v>
      </c>
      <c r="K24" s="13">
        <v>1.964</v>
      </c>
      <c r="L24" s="13">
        <v>3.2259999999999997E-2</v>
      </c>
      <c r="M24" s="13">
        <v>0.38159999999999999</v>
      </c>
      <c r="N24" s="13">
        <v>2.7030000000000001E-3</v>
      </c>
      <c r="O24" s="16">
        <v>2.464</v>
      </c>
      <c r="P24" s="38" t="s">
        <v>17</v>
      </c>
      <c r="Q24" s="36" t="s">
        <v>17</v>
      </c>
      <c r="R24" s="67"/>
      <c r="S24" s="36" t="s">
        <v>17</v>
      </c>
      <c r="T24" s="36" t="s">
        <v>17</v>
      </c>
      <c r="U24" s="36" t="s">
        <v>17</v>
      </c>
      <c r="V24" s="36" t="s">
        <v>17</v>
      </c>
      <c r="W24" s="36" t="s">
        <v>17</v>
      </c>
      <c r="X24" s="36" t="s">
        <v>17</v>
      </c>
      <c r="Y24" s="36" t="s">
        <v>17</v>
      </c>
      <c r="Z24" s="36" t="s">
        <v>17</v>
      </c>
      <c r="AA24" s="36" t="s">
        <v>17</v>
      </c>
      <c r="AB24" s="36" t="s">
        <v>17</v>
      </c>
      <c r="AC24" s="37" t="s">
        <v>17</v>
      </c>
      <c r="AD24"/>
    </row>
    <row r="25" spans="1:38" x14ac:dyDescent="0.25">
      <c r="A25" s="24" t="s">
        <v>53</v>
      </c>
      <c r="B25" s="33">
        <v>1.1440000000000001E-2</v>
      </c>
      <c r="C25" s="13">
        <v>2.6379999999999999</v>
      </c>
      <c r="D25" s="67"/>
      <c r="E25" s="13">
        <v>4.1980000000000003E-2</v>
      </c>
      <c r="F25" s="13">
        <v>8.5960000000000001</v>
      </c>
      <c r="G25" s="13">
        <v>6.6859999999999999</v>
      </c>
      <c r="H25" s="13">
        <v>0.3231</v>
      </c>
      <c r="I25" s="13">
        <v>1.771E-3</v>
      </c>
      <c r="J25" s="13">
        <v>4.2619999999999996</v>
      </c>
      <c r="K25" s="13">
        <v>2.4159999999999999</v>
      </c>
      <c r="L25" s="13">
        <v>5.1580000000000001E-2</v>
      </c>
      <c r="M25" s="13">
        <v>0.6149</v>
      </c>
      <c r="N25" s="13">
        <v>6.8580000000000004E-3</v>
      </c>
      <c r="O25" s="16">
        <v>2.5640000000000001</v>
      </c>
      <c r="P25" s="35">
        <v>1.367E-2</v>
      </c>
      <c r="Q25" s="13">
        <v>3.2109999999999999</v>
      </c>
      <c r="R25" s="67"/>
      <c r="S25" s="13">
        <v>8.7670000000000005E-3</v>
      </c>
      <c r="T25" s="13">
        <v>10.91</v>
      </c>
      <c r="U25" s="13">
        <v>5.0289999999999999</v>
      </c>
      <c r="V25" s="13">
        <v>0.30570000000000003</v>
      </c>
      <c r="W25" s="13">
        <v>1.8060000000000001E-3</v>
      </c>
      <c r="X25" s="13">
        <v>4.8689999999999998</v>
      </c>
      <c r="Y25" s="13">
        <v>2.444</v>
      </c>
      <c r="Z25" s="13">
        <v>1.047E-2</v>
      </c>
      <c r="AA25" s="13">
        <v>0.58350000000000002</v>
      </c>
      <c r="AB25" s="13">
        <v>8.7899999999999992E-3</v>
      </c>
      <c r="AC25" s="16">
        <v>2.7450000000000001</v>
      </c>
      <c r="AD25"/>
    </row>
    <row r="26" spans="1:38" x14ac:dyDescent="0.25">
      <c r="A26" s="24" t="s">
        <v>54</v>
      </c>
      <c r="B26" s="33">
        <v>9.9369999999999997E-3</v>
      </c>
      <c r="C26" s="13">
        <v>1.7989999999999999</v>
      </c>
      <c r="D26" s="67"/>
      <c r="E26" s="13">
        <v>2.3800000000000002E-2</v>
      </c>
      <c r="F26" s="13">
        <v>6.1070000000000002</v>
      </c>
      <c r="G26" s="13">
        <v>3.8580000000000001</v>
      </c>
      <c r="H26" s="13">
        <v>0.29930000000000001</v>
      </c>
      <c r="I26" s="13">
        <v>1.4760000000000001E-3</v>
      </c>
      <c r="J26" s="13">
        <v>2.89</v>
      </c>
      <c r="K26" s="13">
        <v>1.8109999999999999</v>
      </c>
      <c r="L26" s="13">
        <v>3.422E-2</v>
      </c>
      <c r="M26" s="13">
        <v>0.42180000000000001</v>
      </c>
      <c r="N26" s="13">
        <v>1.077E-2</v>
      </c>
      <c r="O26" s="16">
        <v>2.1379999999999999</v>
      </c>
      <c r="P26" s="35">
        <v>4.9119999999999997E-3</v>
      </c>
      <c r="Q26" s="13">
        <v>2.6030000000000002</v>
      </c>
      <c r="R26" s="67"/>
      <c r="S26" s="13">
        <v>1.3599999999999999E-2</v>
      </c>
      <c r="T26" s="13">
        <v>9.6850000000000005</v>
      </c>
      <c r="U26" s="13">
        <v>5.6059999999999999</v>
      </c>
      <c r="V26" s="13">
        <v>0.38119999999999998</v>
      </c>
      <c r="W26" s="13">
        <v>1.7589999999999999E-3</v>
      </c>
      <c r="X26" s="13">
        <v>5.4669999999999996</v>
      </c>
      <c r="Y26" s="13">
        <v>2.0310000000000001</v>
      </c>
      <c r="Z26" s="13">
        <v>6.3250000000000001E-2</v>
      </c>
      <c r="AA26" s="13">
        <v>0.61850000000000005</v>
      </c>
      <c r="AB26" s="13">
        <v>1.3159999999999999E-3</v>
      </c>
      <c r="AC26" s="16">
        <v>1.9730000000000001</v>
      </c>
      <c r="AD26"/>
    </row>
    <row r="27" spans="1:38" x14ac:dyDescent="0.25">
      <c r="A27" s="24" t="s">
        <v>55</v>
      </c>
      <c r="B27" s="33">
        <v>9.5849999999999998E-3</v>
      </c>
      <c r="C27" s="13">
        <v>1.591</v>
      </c>
      <c r="D27" s="67"/>
      <c r="E27" s="13">
        <v>2.971E-2</v>
      </c>
      <c r="F27" s="13">
        <v>5.2</v>
      </c>
      <c r="G27" s="13">
        <v>3.8149999999999999</v>
      </c>
      <c r="H27" s="13">
        <v>0.19689999999999999</v>
      </c>
      <c r="I27" s="13">
        <v>1.0579999999999999E-3</v>
      </c>
      <c r="J27" s="13">
        <v>3.492</v>
      </c>
      <c r="K27" s="13">
        <v>1.302</v>
      </c>
      <c r="L27" s="13">
        <v>4.5109999999999997E-2</v>
      </c>
      <c r="M27" s="13">
        <v>0.45200000000000001</v>
      </c>
      <c r="N27" s="13">
        <v>7.9979999999999999E-3</v>
      </c>
      <c r="O27" s="16">
        <v>2.4420000000000002</v>
      </c>
      <c r="P27" s="35">
        <v>6.123E-3</v>
      </c>
      <c r="Q27" s="13">
        <v>2.4929999999999999</v>
      </c>
      <c r="R27" s="67"/>
      <c r="S27" s="13">
        <v>6.5449999999999994E-2</v>
      </c>
      <c r="T27" s="13">
        <v>10.26</v>
      </c>
      <c r="U27" s="13">
        <v>4.93</v>
      </c>
      <c r="V27" s="13">
        <v>0.28570000000000001</v>
      </c>
      <c r="W27" s="13">
        <v>1.9380000000000001E-3</v>
      </c>
      <c r="X27" s="13">
        <v>4.7240000000000002</v>
      </c>
      <c r="Y27" s="13">
        <v>2.2410000000000001</v>
      </c>
      <c r="Z27" s="13">
        <v>6.9860000000000005E-2</v>
      </c>
      <c r="AA27" s="13">
        <v>0.53180000000000005</v>
      </c>
      <c r="AB27" s="13">
        <v>1.567E-2</v>
      </c>
      <c r="AC27" s="16">
        <v>2.2490000000000001</v>
      </c>
      <c r="AD27"/>
    </row>
    <row r="28" spans="1:38" x14ac:dyDescent="0.25">
      <c r="A28" s="24" t="s">
        <v>56</v>
      </c>
      <c r="B28" s="33">
        <v>6.5139999999999998E-3</v>
      </c>
      <c r="C28" s="13">
        <v>1.585</v>
      </c>
      <c r="D28" s="67"/>
      <c r="E28" s="13">
        <v>2.1190000000000001E-2</v>
      </c>
      <c r="F28" s="13">
        <v>11.48</v>
      </c>
      <c r="G28" s="13">
        <v>4.0359999999999996</v>
      </c>
      <c r="H28" s="13">
        <v>0.35210000000000002</v>
      </c>
      <c r="I28" s="13">
        <v>2.1800000000000001E-3</v>
      </c>
      <c r="J28" s="13">
        <v>2.2440000000000002</v>
      </c>
      <c r="K28" s="13">
        <v>3.968</v>
      </c>
      <c r="L28" s="13">
        <v>2.1590000000000002E-2</v>
      </c>
      <c r="M28" s="13">
        <v>0.45500000000000002</v>
      </c>
      <c r="N28" s="13">
        <v>1.0880000000000001E-2</v>
      </c>
      <c r="O28" s="16">
        <v>2.423</v>
      </c>
      <c r="P28" s="35">
        <v>5.5370000000000003E-3</v>
      </c>
      <c r="Q28" s="13">
        <v>2.173</v>
      </c>
      <c r="R28" s="67"/>
      <c r="S28" s="13">
        <v>1.976E-2</v>
      </c>
      <c r="T28" s="13">
        <v>8.1280000000000001</v>
      </c>
      <c r="U28" s="13">
        <v>4.859</v>
      </c>
      <c r="V28" s="13">
        <v>0.31359999999999999</v>
      </c>
      <c r="W28" s="13">
        <v>3.1480000000000002E-3</v>
      </c>
      <c r="X28" s="13">
        <v>6.0250000000000004</v>
      </c>
      <c r="Y28" s="13">
        <v>1.9370000000000001</v>
      </c>
      <c r="Z28" s="13">
        <v>5.3600000000000002E-2</v>
      </c>
      <c r="AA28" s="13">
        <v>0.53990000000000005</v>
      </c>
      <c r="AB28" s="13">
        <v>4.9760000000000004E-3</v>
      </c>
      <c r="AC28" s="16">
        <v>1.962</v>
      </c>
      <c r="AD28"/>
    </row>
    <row r="29" spans="1:38" x14ac:dyDescent="0.25">
      <c r="A29" s="24" t="s">
        <v>57</v>
      </c>
      <c r="B29" s="33">
        <v>6.3959999999999998E-3</v>
      </c>
      <c r="C29" s="13">
        <v>1.2789999999999999</v>
      </c>
      <c r="D29" s="67"/>
      <c r="E29" s="13">
        <v>1.898E-2</v>
      </c>
      <c r="F29" s="13">
        <v>9.3829999999999991</v>
      </c>
      <c r="G29" s="13">
        <v>3.6589999999999998</v>
      </c>
      <c r="H29" s="13">
        <v>0.28549999999999998</v>
      </c>
      <c r="I29" s="13">
        <v>1.768E-3</v>
      </c>
      <c r="J29" s="13">
        <v>1.163</v>
      </c>
      <c r="K29" s="13">
        <v>2.7869999999999999</v>
      </c>
      <c r="L29" s="13">
        <v>2.845E-2</v>
      </c>
      <c r="M29" s="13">
        <v>0.46610000000000001</v>
      </c>
      <c r="N29" s="13">
        <v>1.3860000000000001E-2</v>
      </c>
      <c r="O29" s="16">
        <v>2.2890000000000001</v>
      </c>
      <c r="P29" s="35">
        <v>6.2690000000000003E-3</v>
      </c>
      <c r="Q29" s="13">
        <v>2.3149999999999999</v>
      </c>
      <c r="R29" s="67"/>
      <c r="S29" s="13">
        <v>3.1949999999999999E-2</v>
      </c>
      <c r="T29" s="13">
        <v>7.7960000000000003</v>
      </c>
      <c r="U29" s="13">
        <v>4.5819999999999999</v>
      </c>
      <c r="V29" s="13">
        <v>0.27300000000000002</v>
      </c>
      <c r="W29" s="13">
        <v>2.7239999999999999E-3</v>
      </c>
      <c r="X29" s="13">
        <v>5.1909999999999998</v>
      </c>
      <c r="Y29" s="13">
        <v>1.819</v>
      </c>
      <c r="Z29" s="13">
        <v>8.2180000000000003E-2</v>
      </c>
      <c r="AA29" s="13">
        <v>0.59050000000000002</v>
      </c>
      <c r="AB29" s="13">
        <v>2.957E-3</v>
      </c>
      <c r="AC29" s="16">
        <v>2.3559999999999999</v>
      </c>
      <c r="AD29"/>
    </row>
    <row r="30" spans="1:38" x14ac:dyDescent="0.25">
      <c r="A30" s="24" t="s">
        <v>58</v>
      </c>
      <c r="B30" s="33">
        <v>5.5570000000000003E-3</v>
      </c>
      <c r="C30" s="13">
        <v>2.1589999999999998</v>
      </c>
      <c r="D30" s="67"/>
      <c r="E30" s="13">
        <v>2.1520000000000001E-2</v>
      </c>
      <c r="F30" s="13">
        <v>11.74</v>
      </c>
      <c r="G30" s="13">
        <v>4.54</v>
      </c>
      <c r="H30" s="13">
        <v>0.373</v>
      </c>
      <c r="I30" s="13">
        <v>1.7650000000000001E-3</v>
      </c>
      <c r="J30" s="13">
        <v>2.464</v>
      </c>
      <c r="K30" s="13">
        <v>3.976</v>
      </c>
      <c r="L30" s="13">
        <v>2.1610000000000001E-2</v>
      </c>
      <c r="M30" s="13">
        <v>0.4501</v>
      </c>
      <c r="N30" s="13">
        <v>5.7190000000000001E-3</v>
      </c>
      <c r="O30" s="16">
        <v>2.6360000000000001</v>
      </c>
      <c r="P30" s="35">
        <v>4.9309999999999996E-3</v>
      </c>
      <c r="Q30" s="13">
        <v>2.02</v>
      </c>
      <c r="R30" s="67"/>
      <c r="S30" s="13">
        <v>1.4670000000000001E-2</v>
      </c>
      <c r="T30" s="13">
        <v>6.9320000000000004</v>
      </c>
      <c r="U30" s="13">
        <v>4.3949999999999996</v>
      </c>
      <c r="V30" s="13">
        <v>0.28370000000000001</v>
      </c>
      <c r="W30" s="13">
        <v>1.879E-3</v>
      </c>
      <c r="X30" s="13">
        <v>4.7939999999999996</v>
      </c>
      <c r="Y30" s="13">
        <v>1.627</v>
      </c>
      <c r="Z30" s="13">
        <v>6.5759999999999999E-2</v>
      </c>
      <c r="AA30" s="13">
        <v>0.46450000000000002</v>
      </c>
      <c r="AB30" s="13">
        <v>6.914E-3</v>
      </c>
      <c r="AC30" s="16">
        <v>2.827</v>
      </c>
      <c r="AD30"/>
      <c r="AE30" s="25"/>
      <c r="AF30"/>
      <c r="AG30"/>
      <c r="AH30"/>
      <c r="AI30"/>
      <c r="AJ30"/>
      <c r="AK30"/>
      <c r="AL30"/>
    </row>
    <row r="31" spans="1:38" s="26" customFormat="1" x14ac:dyDescent="0.25">
      <c r="A31" s="24" t="s">
        <v>59</v>
      </c>
      <c r="B31" s="33">
        <v>4.6319999999999998E-3</v>
      </c>
      <c r="C31" s="13">
        <v>2.0750000000000002</v>
      </c>
      <c r="D31" s="67"/>
      <c r="E31" s="13">
        <v>1.6879999999999999E-2</v>
      </c>
      <c r="F31" s="13">
        <v>9.9640000000000004</v>
      </c>
      <c r="G31" s="13">
        <v>3.7240000000000002</v>
      </c>
      <c r="H31" s="13">
        <v>0.28699999999999998</v>
      </c>
      <c r="I31" s="13">
        <v>1.6930000000000001E-3</v>
      </c>
      <c r="J31" s="13">
        <v>2.2170000000000001</v>
      </c>
      <c r="K31" s="13">
        <v>3.109</v>
      </c>
      <c r="L31" s="13">
        <v>4.7969999999999999E-2</v>
      </c>
      <c r="M31" s="13">
        <v>0.51590000000000003</v>
      </c>
      <c r="N31" s="13">
        <v>1.0200000000000001E-2</v>
      </c>
      <c r="O31" s="13">
        <v>2.694</v>
      </c>
      <c r="P31" s="33">
        <v>1.072E-2</v>
      </c>
      <c r="Q31" s="13">
        <v>2.0979999999999999</v>
      </c>
      <c r="R31" s="67"/>
      <c r="S31" s="13">
        <v>1.235E-2</v>
      </c>
      <c r="T31" s="13">
        <v>10.48</v>
      </c>
      <c r="U31" s="13">
        <v>6.1210000000000004</v>
      </c>
      <c r="V31" s="13">
        <v>0.37959999999999999</v>
      </c>
      <c r="W31" s="13">
        <v>3.568E-3</v>
      </c>
      <c r="X31" s="13">
        <v>5.9390000000000001</v>
      </c>
      <c r="Y31" s="13">
        <v>1.8959999999999999</v>
      </c>
      <c r="Z31" s="13">
        <v>6.2089999999999999E-2</v>
      </c>
      <c r="AA31" s="13">
        <v>0.62060000000000004</v>
      </c>
      <c r="AB31" s="13">
        <v>4.0730000000000002E-3</v>
      </c>
      <c r="AC31" s="16">
        <v>2.9369999999999998</v>
      </c>
      <c r="AE31" s="25"/>
    </row>
    <row r="32" spans="1:38" s="26" customFormat="1" x14ac:dyDescent="0.25">
      <c r="A32" s="24" t="s">
        <v>60</v>
      </c>
      <c r="B32" s="33">
        <v>3.2569999999999999E-3</v>
      </c>
      <c r="C32" s="13">
        <v>1.234</v>
      </c>
      <c r="D32" s="67"/>
      <c r="E32" s="13">
        <v>1.6279999999999999E-2</v>
      </c>
      <c r="F32" s="13">
        <v>10.27</v>
      </c>
      <c r="G32" s="13">
        <v>3.2989999999999999</v>
      </c>
      <c r="H32" s="13">
        <v>0.317</v>
      </c>
      <c r="I32" s="13">
        <v>1.7129999999999999E-3</v>
      </c>
      <c r="J32" s="13">
        <v>1.694</v>
      </c>
      <c r="K32" s="13">
        <v>3.2759999999999998</v>
      </c>
      <c r="L32" s="13">
        <v>3.5009999999999999E-2</v>
      </c>
      <c r="M32" s="13">
        <v>0.3916</v>
      </c>
      <c r="N32" s="13">
        <v>6.8510000000000003E-3</v>
      </c>
      <c r="O32" s="13">
        <v>2.137</v>
      </c>
      <c r="P32" s="33">
        <v>6.6100000000000004E-3</v>
      </c>
      <c r="Q32" s="13">
        <v>1.625</v>
      </c>
      <c r="R32" s="67"/>
      <c r="S32" s="13">
        <v>5.722E-2</v>
      </c>
      <c r="T32" s="13">
        <v>8.7390000000000008</v>
      </c>
      <c r="U32" s="13">
        <v>5.532</v>
      </c>
      <c r="V32" s="13">
        <v>0.3861</v>
      </c>
      <c r="W32" s="13">
        <v>3.091E-3</v>
      </c>
      <c r="X32" s="13">
        <v>5.452</v>
      </c>
      <c r="Y32" s="13">
        <v>2.129</v>
      </c>
      <c r="Z32" s="13">
        <v>6.4879999999999993E-2</v>
      </c>
      <c r="AA32" s="13">
        <v>0.41439999999999999</v>
      </c>
      <c r="AB32" s="13">
        <v>4.5250000000000004E-3</v>
      </c>
      <c r="AC32" s="16">
        <v>2.2429999999999999</v>
      </c>
      <c r="AE32" s="25"/>
    </row>
    <row r="33" spans="1:31" s="26" customFormat="1" x14ac:dyDescent="0.25">
      <c r="A33" s="24" t="s">
        <v>61</v>
      </c>
      <c r="B33" s="33">
        <v>5.2500000000000003E-3</v>
      </c>
      <c r="C33" s="13">
        <v>1.8180000000000001</v>
      </c>
      <c r="D33" s="67"/>
      <c r="E33" s="13">
        <v>2.359E-2</v>
      </c>
      <c r="F33" s="13">
        <v>11.77</v>
      </c>
      <c r="G33" s="13">
        <v>4.57</v>
      </c>
      <c r="H33" s="13">
        <v>0.37719999999999998</v>
      </c>
      <c r="I33" s="13">
        <v>2.4659999999999999E-3</v>
      </c>
      <c r="J33" s="13">
        <v>2.3530000000000002</v>
      </c>
      <c r="K33" s="13">
        <v>4.1779999999999999</v>
      </c>
      <c r="L33" s="13">
        <v>5.1119999999999999E-2</v>
      </c>
      <c r="M33" s="13">
        <v>0.63060000000000005</v>
      </c>
      <c r="N33" s="13">
        <v>7.2859999999999999E-3</v>
      </c>
      <c r="O33" s="13">
        <v>3.1440000000000001</v>
      </c>
      <c r="P33" s="33">
        <v>1.4710000000000001E-2</v>
      </c>
      <c r="Q33" s="13">
        <v>1.5780000000000001</v>
      </c>
      <c r="R33" s="67"/>
      <c r="S33" s="13">
        <v>7.404E-3</v>
      </c>
      <c r="T33" s="13">
        <v>9.3350000000000009</v>
      </c>
      <c r="U33" s="13">
        <v>5.077</v>
      </c>
      <c r="V33" s="13">
        <v>0.34449999999999997</v>
      </c>
      <c r="W33" s="13">
        <v>3.2889999999999998E-3</v>
      </c>
      <c r="X33" s="13">
        <v>4.5279999999999996</v>
      </c>
      <c r="Y33" s="13">
        <v>1.639</v>
      </c>
      <c r="Z33" s="13">
        <v>3.5229999999999997E-2</v>
      </c>
      <c r="AA33" s="13">
        <v>0.69989999999999997</v>
      </c>
      <c r="AB33" s="13">
        <v>3.0460000000000001E-3</v>
      </c>
      <c r="AC33" s="16">
        <v>1.2749999999999999</v>
      </c>
      <c r="AE33" s="25"/>
    </row>
    <row r="34" spans="1:31" s="26" customFormat="1" x14ac:dyDescent="0.25">
      <c r="A34" s="24" t="s">
        <v>62</v>
      </c>
      <c r="B34" s="33">
        <v>5.378E-3</v>
      </c>
      <c r="C34" s="13">
        <v>1.0309999999999999</v>
      </c>
      <c r="D34" s="67"/>
      <c r="E34" s="13">
        <v>1.9890000000000001E-2</v>
      </c>
      <c r="F34" s="13">
        <v>11.66</v>
      </c>
      <c r="G34" s="13">
        <v>4.0419999999999998</v>
      </c>
      <c r="H34" s="13">
        <v>0.3327</v>
      </c>
      <c r="I34" s="13">
        <v>1.7489999999999999E-3</v>
      </c>
      <c r="J34" s="13">
        <v>2.012</v>
      </c>
      <c r="K34" s="13">
        <v>3.8460000000000001</v>
      </c>
      <c r="L34" s="13">
        <v>2.5409999999999999E-2</v>
      </c>
      <c r="M34" s="13">
        <v>0.49209999999999998</v>
      </c>
      <c r="N34" s="13">
        <v>9.8600000000000007E-3</v>
      </c>
      <c r="O34" s="13">
        <v>2.4929999999999999</v>
      </c>
      <c r="P34" s="33">
        <v>1.226E-2</v>
      </c>
      <c r="Q34" s="13">
        <v>2.0990000000000002</v>
      </c>
      <c r="R34" s="67"/>
      <c r="S34" s="13">
        <v>1.094E-2</v>
      </c>
      <c r="T34" s="13">
        <v>9.6359999999999992</v>
      </c>
      <c r="U34" s="13">
        <v>5.4829999999999997</v>
      </c>
      <c r="V34" s="13">
        <v>0.34549999999999997</v>
      </c>
      <c r="W34" s="13">
        <v>3.2030000000000001E-3</v>
      </c>
      <c r="X34" s="13">
        <v>5.2080000000000002</v>
      </c>
      <c r="Y34" s="13">
        <v>1.8180000000000001</v>
      </c>
      <c r="Z34" s="13">
        <v>4.6809999999999997E-2</v>
      </c>
      <c r="AA34" s="13">
        <v>0.71140000000000003</v>
      </c>
      <c r="AB34" s="13">
        <v>2.2829999999999999E-3</v>
      </c>
      <c r="AC34" s="16">
        <v>2.2000000000000002</v>
      </c>
      <c r="AE34" s="25"/>
    </row>
    <row r="35" spans="1:31" s="26" customFormat="1" x14ac:dyDescent="0.25">
      <c r="A35" s="24" t="s">
        <v>63</v>
      </c>
      <c r="B35" s="33">
        <v>6.5420000000000001E-3</v>
      </c>
      <c r="C35" s="13">
        <v>2.77</v>
      </c>
      <c r="D35" s="67"/>
      <c r="E35" s="13">
        <v>4.052E-2</v>
      </c>
      <c r="F35" s="13">
        <v>21.63</v>
      </c>
      <c r="G35" s="13">
        <v>7.1970000000000001</v>
      </c>
      <c r="H35" s="13">
        <v>0.52890000000000004</v>
      </c>
      <c r="I35" s="13">
        <v>2.3579999999999999E-3</v>
      </c>
      <c r="J35" s="13">
        <v>2.4900000000000002</v>
      </c>
      <c r="K35" s="13">
        <v>6.5670000000000002</v>
      </c>
      <c r="L35" s="13">
        <v>9.0770000000000003E-2</v>
      </c>
      <c r="M35" s="13">
        <v>0.90239999999999998</v>
      </c>
      <c r="N35" s="13">
        <v>1.2670000000000001E-2</v>
      </c>
      <c r="O35" s="13">
        <v>4.8559999999999999</v>
      </c>
      <c r="P35" s="33">
        <v>7.5259999999999997E-3</v>
      </c>
      <c r="Q35" s="13">
        <v>1.849</v>
      </c>
      <c r="R35" s="67"/>
      <c r="S35" s="13">
        <v>2.878E-2</v>
      </c>
      <c r="T35" s="13">
        <v>7.3529999999999998</v>
      </c>
      <c r="U35" s="13">
        <v>5.07</v>
      </c>
      <c r="V35" s="13">
        <v>0.316</v>
      </c>
      <c r="W35" s="13">
        <v>1.8890000000000001E-3</v>
      </c>
      <c r="X35" s="13">
        <v>5.2779999999999996</v>
      </c>
      <c r="Y35" s="13">
        <v>1.5349999999999999</v>
      </c>
      <c r="Z35" s="13">
        <v>9.9769999999999998E-2</v>
      </c>
      <c r="AA35" s="13">
        <v>0.69730000000000003</v>
      </c>
      <c r="AB35" s="13">
        <v>3.1879999999999999E-3</v>
      </c>
      <c r="AC35" s="16">
        <v>2.9140000000000001</v>
      </c>
      <c r="AE35" s="25"/>
    </row>
    <row r="36" spans="1:31" s="26" customFormat="1" x14ac:dyDescent="0.25">
      <c r="A36" s="24" t="s">
        <v>64</v>
      </c>
      <c r="B36" s="33">
        <v>3.6059999999999998E-3</v>
      </c>
      <c r="C36" s="13">
        <v>1.2370000000000001</v>
      </c>
      <c r="D36" s="67"/>
      <c r="E36" s="13">
        <v>1.5310000000000001E-2</v>
      </c>
      <c r="F36" s="13">
        <v>11.17</v>
      </c>
      <c r="G36" s="13">
        <v>3.7090000000000001</v>
      </c>
      <c r="H36" s="13">
        <v>0.34150000000000003</v>
      </c>
      <c r="I36" s="13">
        <v>1.586E-3</v>
      </c>
      <c r="J36" s="13">
        <v>0.85619999999999996</v>
      </c>
      <c r="K36" s="13">
        <v>3.9849999999999999</v>
      </c>
      <c r="L36" s="13">
        <v>3.0620000000000001E-2</v>
      </c>
      <c r="M36" s="13">
        <v>0.42359999999999998</v>
      </c>
      <c r="N36" s="13">
        <v>1.653E-2</v>
      </c>
      <c r="O36" s="13">
        <v>2.121</v>
      </c>
      <c r="P36" s="33">
        <v>4.4460000000000003E-3</v>
      </c>
      <c r="Q36" s="13">
        <v>2.7080000000000002</v>
      </c>
      <c r="R36" s="67"/>
      <c r="S36" s="13">
        <v>3.7179999999999998E-2</v>
      </c>
      <c r="T36" s="13">
        <v>8.391</v>
      </c>
      <c r="U36" s="13">
        <v>5.282</v>
      </c>
      <c r="V36" s="13">
        <v>0.36349999999999999</v>
      </c>
      <c r="W36" s="13">
        <v>2.2130000000000001E-3</v>
      </c>
      <c r="X36" s="13">
        <v>5.4630000000000001</v>
      </c>
      <c r="Y36" s="13">
        <v>2.032</v>
      </c>
      <c r="Z36" s="13">
        <v>0.1094</v>
      </c>
      <c r="AA36" s="13">
        <v>0.52229999999999999</v>
      </c>
      <c r="AB36" s="13">
        <v>2.3749999999999999E-3</v>
      </c>
      <c r="AC36" s="16">
        <v>2.2090000000000001</v>
      </c>
      <c r="AE36" s="25"/>
    </row>
    <row r="37" spans="1:31" s="26" customFormat="1" x14ac:dyDescent="0.25">
      <c r="A37" s="24" t="s">
        <v>65</v>
      </c>
      <c r="B37" s="33">
        <v>4.2989999999999999E-3</v>
      </c>
      <c r="C37" s="13">
        <v>2.42</v>
      </c>
      <c r="D37" s="67"/>
      <c r="E37" s="13">
        <v>2.1659999999999999E-2</v>
      </c>
      <c r="F37" s="13">
        <v>14.38</v>
      </c>
      <c r="G37" s="13">
        <v>5.1639999999999997</v>
      </c>
      <c r="H37" s="13">
        <v>0.44109999999999999</v>
      </c>
      <c r="I37" s="13">
        <v>1.805E-3</v>
      </c>
      <c r="J37" s="13">
        <v>2.1920000000000002</v>
      </c>
      <c r="K37" s="13">
        <v>5.0949999999999998</v>
      </c>
      <c r="L37" s="13">
        <v>5.2549999999999999E-2</v>
      </c>
      <c r="M37" s="13">
        <v>0.53359999999999996</v>
      </c>
      <c r="N37" s="13">
        <v>8.2730000000000008E-3</v>
      </c>
      <c r="O37" s="13">
        <v>3.4319999999999999</v>
      </c>
      <c r="P37" s="33">
        <v>5.5710000000000004E-3</v>
      </c>
      <c r="Q37" s="13">
        <v>2.101</v>
      </c>
      <c r="R37" s="67"/>
      <c r="S37" s="13">
        <v>1.4460000000000001E-2</v>
      </c>
      <c r="T37" s="13">
        <v>8.8629999999999995</v>
      </c>
      <c r="U37" s="13">
        <v>6.2149999999999999</v>
      </c>
      <c r="V37" s="13">
        <v>0.25840000000000002</v>
      </c>
      <c r="W37" s="13">
        <v>1.8500000000000001E-3</v>
      </c>
      <c r="X37" s="13">
        <v>5.0910000000000002</v>
      </c>
      <c r="Y37" s="13">
        <v>1.758</v>
      </c>
      <c r="Z37" s="13">
        <v>7.7600000000000002E-2</v>
      </c>
      <c r="AA37" s="13">
        <v>0.5383</v>
      </c>
      <c r="AB37" s="13">
        <v>7.6229999999999996E-3</v>
      </c>
      <c r="AC37" s="16">
        <v>2.9260000000000002</v>
      </c>
      <c r="AE37" s="25"/>
    </row>
    <row r="38" spans="1:31" s="26" customFormat="1" x14ac:dyDescent="0.25">
      <c r="A38" s="24" t="s">
        <v>66</v>
      </c>
      <c r="B38" s="33">
        <v>4.3350000000000003E-3</v>
      </c>
      <c r="C38" s="13">
        <v>2.2450000000000001</v>
      </c>
      <c r="D38" s="67"/>
      <c r="E38" s="13">
        <v>2.2499999999999999E-2</v>
      </c>
      <c r="F38" s="13">
        <v>12.62</v>
      </c>
      <c r="G38" s="13">
        <v>4.8890000000000002</v>
      </c>
      <c r="H38" s="13">
        <v>0.34470000000000001</v>
      </c>
      <c r="I38" s="13">
        <v>1.498E-3</v>
      </c>
      <c r="J38" s="13">
        <v>2.556</v>
      </c>
      <c r="K38" s="13">
        <v>4.758</v>
      </c>
      <c r="L38" s="13">
        <v>6.1210000000000001E-2</v>
      </c>
      <c r="M38" s="13">
        <v>0.55700000000000005</v>
      </c>
      <c r="N38" s="13">
        <v>6.1729999999999997E-3</v>
      </c>
      <c r="O38" s="13">
        <v>3.101</v>
      </c>
      <c r="P38" s="33">
        <v>9.8449999999999996E-3</v>
      </c>
      <c r="Q38" s="13">
        <v>2.1320000000000001</v>
      </c>
      <c r="R38" s="67"/>
      <c r="S38" s="13">
        <v>2.0760000000000001E-2</v>
      </c>
      <c r="T38" s="13">
        <v>8.6509999999999998</v>
      </c>
      <c r="U38" s="13">
        <v>5.3330000000000002</v>
      </c>
      <c r="V38" s="13">
        <v>0.31490000000000001</v>
      </c>
      <c r="W38" s="13">
        <v>1.8159999999999999E-3</v>
      </c>
      <c r="X38" s="13">
        <v>4.8810000000000002</v>
      </c>
      <c r="Y38" s="13">
        <v>1.8240000000000001</v>
      </c>
      <c r="Z38" s="13">
        <v>0.1043</v>
      </c>
      <c r="AA38" s="13">
        <v>0.67659999999999998</v>
      </c>
      <c r="AB38" s="13">
        <v>1.9750000000000002E-3</v>
      </c>
      <c r="AC38" s="16">
        <v>1.194</v>
      </c>
      <c r="AE38" s="25"/>
    </row>
    <row r="39" spans="1:31" s="26" customFormat="1" x14ac:dyDescent="0.25">
      <c r="A39" s="24" t="s">
        <v>67</v>
      </c>
      <c r="B39" s="33">
        <v>7.136E-3</v>
      </c>
      <c r="C39" s="13">
        <v>1.5760000000000001</v>
      </c>
      <c r="D39" s="67"/>
      <c r="E39" s="13">
        <v>3.7920000000000002E-2</v>
      </c>
      <c r="F39" s="13">
        <v>8.2789999999999999</v>
      </c>
      <c r="G39" s="13">
        <v>4.774</v>
      </c>
      <c r="H39" s="13">
        <v>0.28960000000000002</v>
      </c>
      <c r="I39" s="13">
        <v>1.3060000000000001E-3</v>
      </c>
      <c r="J39" s="13">
        <v>3.6419999999999999</v>
      </c>
      <c r="K39" s="13">
        <v>2.419</v>
      </c>
      <c r="L39" s="13">
        <v>7.331E-2</v>
      </c>
      <c r="M39" s="13">
        <v>0.4476</v>
      </c>
      <c r="N39" s="13">
        <v>3.5349999999999999E-3</v>
      </c>
      <c r="O39" s="13">
        <v>2.3050000000000002</v>
      </c>
      <c r="P39" s="33">
        <v>4.777E-3</v>
      </c>
      <c r="Q39" s="13">
        <v>1.865</v>
      </c>
      <c r="R39" s="67"/>
      <c r="S39" s="13">
        <v>0.12959999999999999</v>
      </c>
      <c r="T39" s="13">
        <v>9.0809999999999995</v>
      </c>
      <c r="U39" s="13">
        <v>5.6609999999999996</v>
      </c>
      <c r="V39" s="13">
        <v>0.3145</v>
      </c>
      <c r="W39" s="13">
        <v>1.6050000000000001E-3</v>
      </c>
      <c r="X39" s="13">
        <v>5.6230000000000002</v>
      </c>
      <c r="Y39" s="13">
        <v>1.857</v>
      </c>
      <c r="Z39" s="13">
        <v>5.484E-2</v>
      </c>
      <c r="AA39" s="13">
        <v>0.41860000000000003</v>
      </c>
      <c r="AB39" s="13">
        <v>3.7269999999999998E-3</v>
      </c>
      <c r="AC39" s="16">
        <v>2.3759999999999999</v>
      </c>
      <c r="AE39" s="25"/>
    </row>
    <row r="40" spans="1:31" s="26" customFormat="1" x14ac:dyDescent="0.25">
      <c r="A40" s="24" t="s">
        <v>68</v>
      </c>
      <c r="B40" s="33">
        <v>5.5409999999999999E-3</v>
      </c>
      <c r="C40" s="13">
        <v>3.153</v>
      </c>
      <c r="D40" s="67"/>
      <c r="E40" s="13">
        <v>3.107E-2</v>
      </c>
      <c r="F40" s="13">
        <v>8.0429999999999993</v>
      </c>
      <c r="G40" s="13">
        <v>4.6909999999999998</v>
      </c>
      <c r="H40" s="13">
        <v>0.32529999999999998</v>
      </c>
      <c r="I40" s="13">
        <v>1.0870000000000001E-3</v>
      </c>
      <c r="J40" s="13">
        <v>3.7490000000000001</v>
      </c>
      <c r="K40" s="13">
        <v>3.15</v>
      </c>
      <c r="L40" s="13">
        <v>7.3620000000000005E-2</v>
      </c>
      <c r="M40" s="13">
        <v>0.47039999999999998</v>
      </c>
      <c r="N40" s="13">
        <v>8.9669999999999993E-3</v>
      </c>
      <c r="O40" s="13">
        <v>2.9140000000000001</v>
      </c>
      <c r="P40" s="33">
        <v>4.0720000000000001E-3</v>
      </c>
      <c r="Q40" s="13">
        <v>2.0720000000000001</v>
      </c>
      <c r="R40" s="67"/>
      <c r="S40" s="13">
        <v>0.2429</v>
      </c>
      <c r="T40" s="13">
        <v>7.5359999999999996</v>
      </c>
      <c r="U40" s="13">
        <v>4.6459999999999999</v>
      </c>
      <c r="V40" s="13">
        <v>0.2898</v>
      </c>
      <c r="W40" s="13">
        <v>1.1999999999999999E-3</v>
      </c>
      <c r="X40" s="13">
        <v>4.5549999999999997</v>
      </c>
      <c r="Y40" s="13">
        <v>1.901</v>
      </c>
      <c r="Z40" s="13">
        <v>4.7019999999999999E-2</v>
      </c>
      <c r="AA40" s="13">
        <v>0.3236</v>
      </c>
      <c r="AB40" s="13">
        <v>1.0789999999999999E-2</v>
      </c>
      <c r="AC40" s="16">
        <v>2.6179999999999999</v>
      </c>
      <c r="AE40" s="25"/>
    </row>
    <row r="41" spans="1:31" x14ac:dyDescent="0.25">
      <c r="A41" s="24" t="s">
        <v>69</v>
      </c>
      <c r="B41" s="33">
        <v>8.5030000000000001E-3</v>
      </c>
      <c r="C41" s="13">
        <v>1.921</v>
      </c>
      <c r="D41" s="67"/>
      <c r="E41" s="13">
        <v>1.8020000000000001E-2</v>
      </c>
      <c r="F41" s="13">
        <v>8.33</v>
      </c>
      <c r="G41" s="13">
        <v>4.5430000000000001</v>
      </c>
      <c r="H41" s="13">
        <v>0.29330000000000001</v>
      </c>
      <c r="I41" s="13">
        <v>1.5200000000000001E-3</v>
      </c>
      <c r="J41" s="13">
        <v>2.27</v>
      </c>
      <c r="K41" s="13">
        <v>2.92</v>
      </c>
      <c r="L41" s="13">
        <v>2.5360000000000001E-2</v>
      </c>
      <c r="M41" s="13">
        <v>0.46050000000000002</v>
      </c>
      <c r="N41" s="13">
        <v>7.626E-3</v>
      </c>
      <c r="O41" s="13">
        <v>2.0539999999999998</v>
      </c>
      <c r="P41" s="33">
        <v>8.3210000000000003E-3</v>
      </c>
      <c r="Q41" s="13">
        <v>2.4969999999999999</v>
      </c>
      <c r="R41" s="67"/>
      <c r="S41" s="13">
        <v>1.155E-2</v>
      </c>
      <c r="T41" s="13">
        <v>10.6</v>
      </c>
      <c r="U41" s="13">
        <v>5.3689999999999998</v>
      </c>
      <c r="V41" s="13">
        <v>0.3387</v>
      </c>
      <c r="W41" s="13">
        <v>1.866E-3</v>
      </c>
      <c r="X41" s="13">
        <v>4.8650000000000002</v>
      </c>
      <c r="Y41" s="13">
        <v>2.2440000000000002</v>
      </c>
      <c r="Z41" s="13">
        <v>3.805E-2</v>
      </c>
      <c r="AA41" s="13">
        <v>0.5766</v>
      </c>
      <c r="AB41" s="13">
        <v>3.7830000000000003E-2</v>
      </c>
      <c r="AC41" s="16">
        <v>1.208</v>
      </c>
      <c r="AE41"/>
    </row>
    <row r="42" spans="1:31" x14ac:dyDescent="0.25">
      <c r="A42" s="24" t="s">
        <v>70</v>
      </c>
      <c r="B42" s="33">
        <v>4.1450000000000002E-3</v>
      </c>
      <c r="C42" s="13">
        <v>2.6579999999999999</v>
      </c>
      <c r="D42" s="67"/>
      <c r="E42" s="13">
        <v>1.4619999999999999E-2</v>
      </c>
      <c r="F42" s="13">
        <v>6.383</v>
      </c>
      <c r="G42" s="13">
        <v>3.5249999999999999</v>
      </c>
      <c r="H42" s="13">
        <v>0.26429999999999998</v>
      </c>
      <c r="I42" s="13">
        <v>1.073E-3</v>
      </c>
      <c r="J42" s="13">
        <v>1.998</v>
      </c>
      <c r="K42" s="13">
        <v>2.6389999999999998</v>
      </c>
      <c r="L42" s="13">
        <v>3.2840000000000001E-2</v>
      </c>
      <c r="M42" s="13">
        <v>0.34210000000000002</v>
      </c>
      <c r="N42" s="13">
        <v>6.9610000000000002E-3</v>
      </c>
      <c r="O42" s="13">
        <v>2.2629999999999999</v>
      </c>
      <c r="P42" s="33">
        <f>1.5*0.0002545</f>
        <v>3.8175000000000004E-4</v>
      </c>
      <c r="Q42" s="13">
        <f>1.5*3.232</f>
        <v>4.8480000000000008</v>
      </c>
      <c r="R42" s="67"/>
      <c r="S42" s="13">
        <f>1.5*0.02735</f>
        <v>4.1024999999999999E-2</v>
      </c>
      <c r="T42" s="13">
        <f>1.5*11.29</f>
        <v>16.934999999999999</v>
      </c>
      <c r="U42" s="13">
        <f>1.5*8.351</f>
        <v>12.526500000000002</v>
      </c>
      <c r="V42" s="13">
        <f>1.5*0.569</f>
        <v>0.85349999999999993</v>
      </c>
      <c r="W42" s="13">
        <f>1.5*0.002243</f>
        <v>3.3645000000000003E-3</v>
      </c>
      <c r="X42" s="13">
        <f>1.5*8.327</f>
        <v>12.490500000000001</v>
      </c>
      <c r="Y42" s="13">
        <f>1.5*2.285</f>
        <v>3.4275000000000002</v>
      </c>
      <c r="Z42" s="13">
        <f>1.5*0.106</f>
        <v>0.159</v>
      </c>
      <c r="AA42" s="13">
        <f>1.5*0.7016</f>
        <v>1.0524</v>
      </c>
      <c r="AB42" s="13">
        <f>1.5*0.001434</f>
        <v>2.1510000000000001E-3</v>
      </c>
      <c r="AC42" s="16">
        <f>1.5*1.054</f>
        <v>1.581</v>
      </c>
      <c r="AE42"/>
    </row>
    <row r="43" spans="1:31" x14ac:dyDescent="0.25">
      <c r="A43" s="24" t="s">
        <v>71</v>
      </c>
      <c r="B43" s="33">
        <v>1.1169999999999999E-2</v>
      </c>
      <c r="C43" s="13">
        <v>2.5299999999999998</v>
      </c>
      <c r="D43" s="67"/>
      <c r="E43" s="13">
        <v>3.6819999999999999E-2</v>
      </c>
      <c r="F43" s="13">
        <v>8.0359999999999996</v>
      </c>
      <c r="G43" s="13">
        <v>4.5940000000000003</v>
      </c>
      <c r="H43" s="13">
        <v>0.7349</v>
      </c>
      <c r="I43" s="13">
        <v>2.4489999999999998E-3</v>
      </c>
      <c r="J43" s="13">
        <v>2.7280000000000002</v>
      </c>
      <c r="K43" s="13">
        <v>2.1850000000000001</v>
      </c>
      <c r="L43" s="13">
        <v>5.6930000000000001E-2</v>
      </c>
      <c r="M43" s="13">
        <v>0.92889999999999995</v>
      </c>
      <c r="N43" s="13">
        <v>7.9810000000000002E-3</v>
      </c>
      <c r="O43" s="13">
        <v>1.698</v>
      </c>
      <c r="P43" s="33">
        <v>1.1679999999999999E-2</v>
      </c>
      <c r="Q43" s="13">
        <v>1.806</v>
      </c>
      <c r="R43" s="67"/>
      <c r="S43" s="13">
        <v>2.5389999999999999E-2</v>
      </c>
      <c r="T43" s="13">
        <v>10.14</v>
      </c>
      <c r="U43" s="13">
        <v>6.0880000000000001</v>
      </c>
      <c r="V43" s="13">
        <v>0.80110000000000003</v>
      </c>
      <c r="W43" s="13">
        <v>2.9989999999999999E-3</v>
      </c>
      <c r="X43" s="13">
        <v>5.8970000000000002</v>
      </c>
      <c r="Y43" s="13">
        <v>1.956</v>
      </c>
      <c r="Z43" s="13">
        <v>2.3189999999999999E-2</v>
      </c>
      <c r="AA43" s="13">
        <v>1.05</v>
      </c>
      <c r="AB43" s="13">
        <v>3.1099999999999999E-3</v>
      </c>
      <c r="AC43" s="16">
        <v>1.4370000000000001</v>
      </c>
      <c r="AE43"/>
    </row>
    <row r="44" spans="1:31" x14ac:dyDescent="0.25">
      <c r="A44" s="24" t="s">
        <v>72</v>
      </c>
      <c r="B44" s="33">
        <v>3.6329999999999999E-3</v>
      </c>
      <c r="C44" s="13">
        <v>2.72</v>
      </c>
      <c r="D44" s="67"/>
      <c r="E44" s="13">
        <v>3.1099999999999999E-2</v>
      </c>
      <c r="F44" s="13">
        <v>6.9660000000000002</v>
      </c>
      <c r="G44" s="13">
        <v>3.7970000000000002</v>
      </c>
      <c r="H44" s="13">
        <v>0.25679999999999997</v>
      </c>
      <c r="I44" s="13">
        <v>1.4430000000000001E-3</v>
      </c>
      <c r="J44" s="13">
        <v>3.5379999999999998</v>
      </c>
      <c r="K44" s="13">
        <v>0.95720000000000005</v>
      </c>
      <c r="L44" s="13">
        <v>4.3729999999999998E-2</v>
      </c>
      <c r="M44" s="13">
        <v>0.46229999999999999</v>
      </c>
      <c r="N44" s="13">
        <v>2.5490000000000001E-3</v>
      </c>
      <c r="O44" s="13">
        <v>2.2469999999999999</v>
      </c>
      <c r="P44" s="33">
        <v>1.2109999999999999E-2</v>
      </c>
      <c r="Q44" s="13">
        <v>1.4379999999999999</v>
      </c>
      <c r="R44" s="67"/>
      <c r="S44" s="13">
        <v>1.1679999999999999E-2</v>
      </c>
      <c r="T44" s="13">
        <v>8.44</v>
      </c>
      <c r="U44" s="13">
        <v>4.5890000000000004</v>
      </c>
      <c r="V44" s="13">
        <v>0.2944</v>
      </c>
      <c r="W44" s="13">
        <v>3.0730000000000002E-3</v>
      </c>
      <c r="X44" s="13">
        <v>4.5190000000000001</v>
      </c>
      <c r="Y44" s="13">
        <v>1.6060000000000001</v>
      </c>
      <c r="Z44" s="13">
        <v>6.0909999999999999E-2</v>
      </c>
      <c r="AA44" s="13">
        <v>0.63670000000000004</v>
      </c>
      <c r="AB44" s="13">
        <v>3.679E-3</v>
      </c>
      <c r="AC44" s="16">
        <v>2.2410000000000001</v>
      </c>
      <c r="AE44"/>
    </row>
    <row r="45" spans="1:31" x14ac:dyDescent="0.25">
      <c r="A45" s="24" t="s">
        <v>73</v>
      </c>
      <c r="B45" s="33">
        <v>4.2050000000000004E-3</v>
      </c>
      <c r="C45" s="13">
        <v>1.43</v>
      </c>
      <c r="D45" s="67"/>
      <c r="E45" s="13">
        <v>1.193E-2</v>
      </c>
      <c r="F45" s="13">
        <v>7.1020000000000003</v>
      </c>
      <c r="G45" s="13">
        <v>3.206</v>
      </c>
      <c r="H45" s="13">
        <v>0.22270000000000001</v>
      </c>
      <c r="I45" s="13">
        <v>1.578E-3</v>
      </c>
      <c r="J45" s="13">
        <v>1.554</v>
      </c>
      <c r="K45" s="13">
        <v>2.0720000000000001</v>
      </c>
      <c r="L45" s="13">
        <v>1.7819999999999999E-2</v>
      </c>
      <c r="M45" s="13">
        <v>0.37219999999999998</v>
      </c>
      <c r="N45" s="13">
        <v>5.1630000000000001E-3</v>
      </c>
      <c r="O45" s="13">
        <v>1.9119999999999999</v>
      </c>
      <c r="P45" s="33">
        <v>7.4669999999999997E-3</v>
      </c>
      <c r="Q45" s="13">
        <v>1.7270000000000001</v>
      </c>
      <c r="R45" s="67"/>
      <c r="S45" s="13">
        <v>2.1190000000000001E-2</v>
      </c>
      <c r="T45" s="13">
        <v>7.3159999999999998</v>
      </c>
      <c r="U45" s="13">
        <v>5.6319999999999997</v>
      </c>
      <c r="V45" s="13">
        <v>0.28110000000000002</v>
      </c>
      <c r="W45" s="13">
        <v>3.235E-3</v>
      </c>
      <c r="X45" s="13">
        <v>4.532</v>
      </c>
      <c r="Y45" s="13">
        <v>1.2609999999999999</v>
      </c>
      <c r="Z45" s="13">
        <v>4.2939999999999999E-2</v>
      </c>
      <c r="AA45" s="13">
        <v>0.60240000000000005</v>
      </c>
      <c r="AB45" s="13">
        <v>2.6210000000000001E-3</v>
      </c>
      <c r="AC45" s="16">
        <v>2.0619999999999998</v>
      </c>
      <c r="AE45"/>
    </row>
    <row r="46" spans="1:31" x14ac:dyDescent="0.25">
      <c r="A46" s="24" t="s">
        <v>74</v>
      </c>
      <c r="B46" s="33">
        <v>5.2610000000000001E-3</v>
      </c>
      <c r="C46" s="13">
        <v>1.9810000000000001</v>
      </c>
      <c r="D46" s="67"/>
      <c r="E46" s="13">
        <v>2.077E-2</v>
      </c>
      <c r="F46" s="13">
        <v>8.1929999999999996</v>
      </c>
      <c r="G46" s="13">
        <v>3.4830000000000001</v>
      </c>
      <c r="H46" s="13">
        <v>0.55289999999999995</v>
      </c>
      <c r="I46" s="13">
        <v>1.5089999999999999E-3</v>
      </c>
      <c r="J46" s="13">
        <v>1.99</v>
      </c>
      <c r="K46" s="13">
        <v>2.8109999999999999</v>
      </c>
      <c r="L46" s="13">
        <v>3.576E-2</v>
      </c>
      <c r="M46" s="13">
        <v>0.55359999999999998</v>
      </c>
      <c r="N46" s="13">
        <v>1.1610000000000001E-2</v>
      </c>
      <c r="O46" s="13">
        <v>2.8439999999999999</v>
      </c>
      <c r="P46" s="33">
        <v>7.9850000000000008E-3</v>
      </c>
      <c r="Q46" s="13">
        <v>1.8069999999999999</v>
      </c>
      <c r="R46" s="67"/>
      <c r="S46" s="13">
        <v>9.6860000000000002E-3</v>
      </c>
      <c r="T46" s="13">
        <v>9.1679999999999993</v>
      </c>
      <c r="U46" s="13">
        <v>3.8839999999999999</v>
      </c>
      <c r="V46" s="13">
        <v>0.71289999999999998</v>
      </c>
      <c r="W46" s="13">
        <v>2.5990000000000002E-3</v>
      </c>
      <c r="X46" s="13">
        <v>4.1029999999999998</v>
      </c>
      <c r="Y46" s="13">
        <v>2.8370000000000002</v>
      </c>
      <c r="Z46" s="13">
        <v>3.2230000000000002E-2</v>
      </c>
      <c r="AA46" s="13">
        <v>0.94359999999999999</v>
      </c>
      <c r="AB46" s="13">
        <v>2.7420000000000001E-3</v>
      </c>
      <c r="AC46" s="16">
        <v>1.3720000000000001</v>
      </c>
      <c r="AE46"/>
    </row>
    <row r="47" spans="1:31" x14ac:dyDescent="0.25">
      <c r="A47" s="24" t="s">
        <v>75</v>
      </c>
      <c r="B47" s="33">
        <v>8.2649999999999998E-3</v>
      </c>
      <c r="C47" s="13">
        <v>2.1440000000000001</v>
      </c>
      <c r="D47" s="67"/>
      <c r="E47" s="13">
        <v>2.5530000000000001E-2</v>
      </c>
      <c r="F47" s="13">
        <v>12.78</v>
      </c>
      <c r="G47" s="13">
        <v>4.6340000000000003</v>
      </c>
      <c r="H47" s="13">
        <v>0.3095</v>
      </c>
      <c r="I47" s="13">
        <v>1.8910000000000001E-3</v>
      </c>
      <c r="J47" s="13">
        <v>2.2850000000000001</v>
      </c>
      <c r="K47" s="13">
        <v>3.2029999999999998</v>
      </c>
      <c r="L47" s="13">
        <v>1.9689999999999999E-2</v>
      </c>
      <c r="M47" s="13">
        <v>0.51490000000000002</v>
      </c>
      <c r="N47" s="13">
        <v>1.213E-2</v>
      </c>
      <c r="O47" s="13">
        <v>3.59</v>
      </c>
      <c r="P47" s="33">
        <v>4.6719999999999999E-3</v>
      </c>
      <c r="Q47" s="13">
        <v>2.2440000000000002</v>
      </c>
      <c r="R47" s="67"/>
      <c r="S47" s="13">
        <v>5.765E-2</v>
      </c>
      <c r="T47" s="13">
        <v>7.3380000000000001</v>
      </c>
      <c r="U47" s="13">
        <v>5.2450000000000001</v>
      </c>
      <c r="V47" s="13">
        <v>0.28310000000000002</v>
      </c>
      <c r="W47" s="13">
        <v>1.9810000000000001E-3</v>
      </c>
      <c r="X47" s="13">
        <v>6.3470000000000004</v>
      </c>
      <c r="Y47" s="13">
        <v>1.2210000000000001</v>
      </c>
      <c r="Z47" s="13">
        <v>0.1134</v>
      </c>
      <c r="AA47" s="13">
        <v>0.51929999999999998</v>
      </c>
      <c r="AB47" s="13">
        <v>3.888E-3</v>
      </c>
      <c r="AC47" s="16">
        <v>3.7210000000000001</v>
      </c>
      <c r="AE47"/>
    </row>
    <row r="48" spans="1:31" x14ac:dyDescent="0.25">
      <c r="A48" s="24" t="s">
        <v>76</v>
      </c>
      <c r="B48" s="33">
        <v>4.9300000000000004E-3</v>
      </c>
      <c r="C48" s="13">
        <v>2.202</v>
      </c>
      <c r="D48" s="67"/>
      <c r="E48" s="13">
        <v>1.225E-2</v>
      </c>
      <c r="F48" s="13">
        <v>12.23</v>
      </c>
      <c r="G48" s="13">
        <v>4.0209999999999999</v>
      </c>
      <c r="H48" s="13">
        <v>0.29730000000000001</v>
      </c>
      <c r="I48" s="13">
        <v>1.0690000000000001E-3</v>
      </c>
      <c r="J48" s="13">
        <v>1.4019999999999999</v>
      </c>
      <c r="K48" s="13">
        <v>3.8170000000000002</v>
      </c>
      <c r="L48" s="13">
        <v>3.2289999999999999E-2</v>
      </c>
      <c r="M48" s="13">
        <v>0.46989999999999998</v>
      </c>
      <c r="N48" s="13">
        <v>1.213E-2</v>
      </c>
      <c r="O48" s="13">
        <v>3.052</v>
      </c>
      <c r="P48" s="33">
        <v>5.7959999999999999E-3</v>
      </c>
      <c r="Q48" s="13">
        <v>2.7650000000000001</v>
      </c>
      <c r="R48" s="67"/>
      <c r="S48" s="13">
        <v>2.682E-2</v>
      </c>
      <c r="T48" s="13">
        <v>8.109</v>
      </c>
      <c r="U48" s="13">
        <v>5.5380000000000003</v>
      </c>
      <c r="V48" s="13">
        <v>0.3155</v>
      </c>
      <c r="W48" s="13">
        <v>1.519E-3</v>
      </c>
      <c r="X48" s="13">
        <v>6.298</v>
      </c>
      <c r="Y48" s="13">
        <v>1.7410000000000001</v>
      </c>
      <c r="Z48" s="13">
        <v>0.1082</v>
      </c>
      <c r="AA48" s="13">
        <v>0.55879999999999996</v>
      </c>
      <c r="AB48" s="13">
        <v>3.2060000000000001E-3</v>
      </c>
      <c r="AC48" s="16">
        <v>2.8519999999999999</v>
      </c>
      <c r="AE48"/>
    </row>
    <row r="49" spans="1:39" ht="15.75" thickBot="1" x14ac:dyDescent="0.3">
      <c r="A49" s="27" t="s">
        <v>77</v>
      </c>
      <c r="B49" s="34">
        <v>4.8279999999999998E-3</v>
      </c>
      <c r="C49" s="4">
        <v>3.5030000000000001</v>
      </c>
      <c r="D49" s="68"/>
      <c r="E49" s="4">
        <v>2.7910000000000001E-2</v>
      </c>
      <c r="F49" s="4">
        <v>12.58</v>
      </c>
      <c r="G49" s="4">
        <v>4.7910000000000004</v>
      </c>
      <c r="H49" s="4">
        <v>0.42149999999999999</v>
      </c>
      <c r="I49" s="4">
        <v>1.0200000000000001E-3</v>
      </c>
      <c r="J49" s="4">
        <v>2.6469999999999998</v>
      </c>
      <c r="K49" s="4">
        <v>4.2679999999999998</v>
      </c>
      <c r="L49" s="4">
        <v>2.8809999999999999E-2</v>
      </c>
      <c r="M49" s="4">
        <v>0.48809999999999998</v>
      </c>
      <c r="N49" s="4">
        <v>9.4310000000000001E-3</v>
      </c>
      <c r="O49" s="4">
        <v>2.6680000000000001</v>
      </c>
      <c r="P49" s="34">
        <v>6.9839999999999998E-3</v>
      </c>
      <c r="Q49" s="4">
        <v>2.7229999999999999</v>
      </c>
      <c r="R49" s="68"/>
      <c r="S49" s="4">
        <v>1.328E-2</v>
      </c>
      <c r="T49" s="4">
        <v>10.29</v>
      </c>
      <c r="U49" s="4">
        <v>3.9790000000000001</v>
      </c>
      <c r="V49" s="4">
        <v>0.3488</v>
      </c>
      <c r="W49" s="4">
        <v>1.64E-3</v>
      </c>
      <c r="X49" s="4">
        <v>3.75</v>
      </c>
      <c r="Y49" s="4">
        <v>3.15</v>
      </c>
      <c r="Z49" s="4">
        <v>2.7040000000000002E-2</v>
      </c>
      <c r="AA49" s="4">
        <v>0.67900000000000005</v>
      </c>
      <c r="AB49" s="4">
        <v>2.604E-3</v>
      </c>
      <c r="AC49" s="5">
        <v>2.0329999999999999</v>
      </c>
      <c r="AE49"/>
    </row>
    <row r="50" spans="1:39" x14ac:dyDescent="0.25">
      <c r="F50" s="61" t="s">
        <v>78</v>
      </c>
      <c r="G50" s="61"/>
      <c r="H50" s="61"/>
      <c r="J50" s="29"/>
      <c r="O50" s="39" t="s">
        <v>79</v>
      </c>
      <c r="AE50"/>
      <c r="AF50"/>
      <c r="AG50"/>
      <c r="AH50"/>
      <c r="AI50"/>
      <c r="AJ50"/>
      <c r="AK50"/>
      <c r="AL50"/>
    </row>
    <row r="51" spans="1:39" x14ac:dyDescent="0.25">
      <c r="AE51"/>
      <c r="AF51"/>
      <c r="AG51"/>
      <c r="AH51"/>
      <c r="AI51"/>
      <c r="AJ51"/>
      <c r="AK51"/>
      <c r="AL51"/>
    </row>
    <row r="52" spans="1:39" x14ac:dyDescent="0.25">
      <c r="AE52" s="25"/>
      <c r="AL52" s="25"/>
    </row>
    <row r="53" spans="1:39" x14ac:dyDescent="0.25">
      <c r="AE53" s="25"/>
      <c r="AL53" s="25"/>
    </row>
    <row r="54" spans="1:39" x14ac:dyDescent="0.25">
      <c r="AE54" s="25"/>
      <c r="AL54" s="25"/>
    </row>
    <row r="55" spans="1:39" x14ac:dyDescent="0.25">
      <c r="AE55" s="25"/>
      <c r="AL55" s="25"/>
    </row>
    <row r="56" spans="1:39" x14ac:dyDescent="0.25">
      <c r="AE56" s="25"/>
      <c r="AL56" s="25"/>
    </row>
    <row r="57" spans="1:39" x14ac:dyDescent="0.25">
      <c r="AE57" s="25"/>
      <c r="AL57" s="25"/>
    </row>
    <row r="58" spans="1:39" x14ac:dyDescent="0.25">
      <c r="AE58" s="25"/>
      <c r="AL58" s="25"/>
      <c r="AM58" s="26"/>
    </row>
    <row r="59" spans="1:39" x14ac:dyDescent="0.25">
      <c r="AE59" s="25"/>
      <c r="AL59" s="25"/>
      <c r="AM59" s="26"/>
    </row>
    <row r="60" spans="1:39" x14ac:dyDescent="0.25">
      <c r="AE60" s="25"/>
      <c r="AL60" s="25"/>
      <c r="AM60" s="26"/>
    </row>
    <row r="61" spans="1:39" x14ac:dyDescent="0.25">
      <c r="AE61" s="25"/>
      <c r="AL61" s="25"/>
      <c r="AM61" s="26"/>
    </row>
    <row r="62" spans="1:39" x14ac:dyDescent="0.25">
      <c r="AE62"/>
      <c r="AL62"/>
      <c r="AM62" s="26"/>
    </row>
    <row r="63" spans="1:39" x14ac:dyDescent="0.25">
      <c r="AE63"/>
      <c r="AL63"/>
      <c r="AM63" s="26"/>
    </row>
    <row r="64" spans="1:39" x14ac:dyDescent="0.25">
      <c r="AE64"/>
      <c r="AL64"/>
      <c r="AM64" s="26"/>
    </row>
    <row r="65" spans="31:39" x14ac:dyDescent="0.25">
      <c r="AE65"/>
      <c r="AL65"/>
      <c r="AM65" s="26"/>
    </row>
    <row r="66" spans="31:39" x14ac:dyDescent="0.25">
      <c r="AE66"/>
      <c r="AL66"/>
      <c r="AM66" s="26"/>
    </row>
    <row r="67" spans="31:39" x14ac:dyDescent="0.25">
      <c r="AE67"/>
      <c r="AL67"/>
      <c r="AM67" s="26"/>
    </row>
    <row r="68" spans="31:39" x14ac:dyDescent="0.25">
      <c r="AE68"/>
      <c r="AL68"/>
    </row>
    <row r="69" spans="31:39" x14ac:dyDescent="0.25">
      <c r="AE69"/>
      <c r="AL69"/>
    </row>
    <row r="70" spans="31:39" x14ac:dyDescent="0.25">
      <c r="AE70"/>
      <c r="AL70"/>
    </row>
    <row r="71" spans="31:39" x14ac:dyDescent="0.25">
      <c r="AE71"/>
      <c r="AL71"/>
    </row>
    <row r="72" spans="31:39" x14ac:dyDescent="0.25">
      <c r="AE72"/>
      <c r="AL72"/>
    </row>
    <row r="73" spans="31:39" x14ac:dyDescent="0.25">
      <c r="AE73"/>
      <c r="AL73"/>
    </row>
    <row r="74" spans="31:39" x14ac:dyDescent="0.25">
      <c r="AE74"/>
      <c r="AL74"/>
    </row>
    <row r="75" spans="31:39" x14ac:dyDescent="0.25">
      <c r="AE75"/>
      <c r="AL75"/>
    </row>
    <row r="76" spans="31:39" x14ac:dyDescent="0.25">
      <c r="AE76"/>
      <c r="AL76"/>
    </row>
  </sheetData>
  <mergeCells count="6">
    <mergeCell ref="F50:H50"/>
    <mergeCell ref="A1:AC1"/>
    <mergeCell ref="B5:O5"/>
    <mergeCell ref="P5:AC5"/>
    <mergeCell ref="D7:D49"/>
    <mergeCell ref="R7:R4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B504C-7E77-47E5-BD54-FCA2231392B9}">
  <dimension ref="A1:AU76"/>
  <sheetViews>
    <sheetView zoomScale="85" zoomScaleNormal="85" workbookViewId="0">
      <selection activeCell="I17" sqref="I17"/>
    </sheetView>
  </sheetViews>
  <sheetFormatPr baseColWidth="10" defaultColWidth="11.42578125" defaultRowHeight="15" x14ac:dyDescent="0.25"/>
  <cols>
    <col min="1" max="8" width="11.42578125" style="7"/>
    <col min="9" max="9" width="16.42578125" style="28" customWidth="1"/>
    <col min="10" max="10" width="10.28515625" style="12" bestFit="1" customWidth="1"/>
    <col min="11" max="11" width="13.5703125" style="7" bestFit="1" customWidth="1"/>
    <col min="12" max="12" width="13.85546875" style="7" bestFit="1" customWidth="1"/>
    <col min="13" max="13" width="13" style="7" bestFit="1" customWidth="1"/>
    <col min="14" max="14" width="21.5703125" style="7" bestFit="1" customWidth="1"/>
    <col min="15" max="15" width="13.42578125" style="7" bestFit="1" customWidth="1"/>
    <col min="16" max="16" width="18.7109375" style="7" bestFit="1" customWidth="1"/>
    <col min="17" max="17" width="14.42578125" style="7" bestFit="1" customWidth="1"/>
    <col min="18" max="18" width="17.42578125" style="7" bestFit="1" customWidth="1"/>
    <col min="19" max="19" width="21.140625" style="7" bestFit="1" customWidth="1"/>
    <col min="20" max="20" width="14" style="7" bestFit="1" customWidth="1"/>
    <col min="21" max="21" width="16" style="7" bestFit="1" customWidth="1"/>
    <col min="22" max="22" width="12" style="7" bestFit="1" customWidth="1"/>
    <col min="23" max="23" width="15.7109375" style="7" bestFit="1" customWidth="1"/>
    <col min="24" max="24" width="10.28515625" style="12" bestFit="1" customWidth="1"/>
    <col min="25" max="25" width="13.5703125" style="7" bestFit="1" customWidth="1"/>
    <col min="26" max="26" width="13.85546875" style="7" bestFit="1" customWidth="1"/>
    <col min="27" max="27" width="13" style="7" bestFit="1" customWidth="1"/>
    <col min="28" max="28" width="10.5703125" style="7" bestFit="1" customWidth="1"/>
    <col min="29" max="29" width="13.42578125" style="7" bestFit="1" customWidth="1"/>
    <col min="30" max="30" width="14.42578125" style="7" customWidth="1"/>
    <col min="31" max="31" width="14.42578125" style="7" bestFit="1" customWidth="1"/>
    <col min="32" max="32" width="17.42578125" style="7" bestFit="1" customWidth="1"/>
    <col min="33" max="33" width="21.140625" style="7" bestFit="1" customWidth="1"/>
    <col min="34" max="34" width="14" style="7" bestFit="1" customWidth="1"/>
    <col min="35" max="35" width="16" style="7" bestFit="1" customWidth="1"/>
    <col min="36" max="36" width="12" style="7" bestFit="1" customWidth="1"/>
    <col min="37" max="37" width="11.42578125" style="7"/>
    <col min="38" max="38" width="3" style="7" customWidth="1"/>
    <col min="39" max="46" width="10.42578125" style="7" customWidth="1"/>
    <col min="47" max="16384" width="11.42578125" style="7"/>
  </cols>
  <sheetData>
    <row r="1" spans="1:38" x14ac:dyDescent="0.25">
      <c r="I1" s="7"/>
    </row>
    <row r="2" spans="1:38" x14ac:dyDescent="0.25">
      <c r="I2" s="17" t="s">
        <v>0</v>
      </c>
      <c r="J2" s="30"/>
      <c r="K2" s="6"/>
      <c r="L2" s="6"/>
      <c r="O2" s="6"/>
      <c r="Q2" s="6"/>
      <c r="R2" s="6"/>
      <c r="S2" s="6"/>
      <c r="T2" s="6"/>
      <c r="U2" s="6"/>
      <c r="V2" s="6"/>
      <c r="W2" s="6"/>
      <c r="AD2" s="18"/>
    </row>
    <row r="3" spans="1:38" ht="15.75" x14ac:dyDescent="0.25">
      <c r="I3" s="17"/>
      <c r="J3" s="30" t="s">
        <v>81</v>
      </c>
      <c r="K3" s="6"/>
      <c r="L3" s="6"/>
      <c r="M3" s="8" t="s">
        <v>1</v>
      </c>
      <c r="N3" s="8"/>
      <c r="O3" s="6"/>
      <c r="P3" s="19"/>
      <c r="Q3" s="6"/>
      <c r="R3" s="6"/>
      <c r="S3" s="6"/>
      <c r="T3" s="6"/>
      <c r="U3" s="6"/>
      <c r="V3" s="6"/>
      <c r="W3" s="6"/>
      <c r="X3" s="30" t="s">
        <v>81</v>
      </c>
      <c r="AD3" s="6"/>
    </row>
    <row r="4" spans="1:38" ht="16.5" thickBot="1" x14ac:dyDescent="0.3">
      <c r="I4" s="17"/>
      <c r="J4" s="30" t="s">
        <v>80</v>
      </c>
      <c r="K4" s="6"/>
      <c r="L4" s="6"/>
      <c r="M4" s="8"/>
      <c r="N4" s="8"/>
      <c r="O4" s="6"/>
      <c r="P4" s="19"/>
      <c r="Q4" s="6"/>
      <c r="R4" s="6"/>
      <c r="S4" s="6"/>
      <c r="T4" s="6"/>
      <c r="U4" s="6"/>
      <c r="V4" s="6"/>
      <c r="W4" s="6"/>
      <c r="X4" s="30" t="s">
        <v>80</v>
      </c>
      <c r="AD4" s="6"/>
    </row>
    <row r="5" spans="1:38" ht="19.5" thickBot="1" x14ac:dyDescent="0.3">
      <c r="I5" s="20"/>
      <c r="J5" s="63" t="s">
        <v>16</v>
      </c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5"/>
      <c r="X5" s="63" t="s">
        <v>32</v>
      </c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  <c r="AJ5" s="64"/>
      <c r="AK5" s="65"/>
    </row>
    <row r="6" spans="1:38" ht="30.75" thickBot="1" x14ac:dyDescent="0.3">
      <c r="A6" s="14" t="s">
        <v>18</v>
      </c>
      <c r="B6" s="14" t="s">
        <v>19</v>
      </c>
      <c r="C6" s="14" t="s">
        <v>20</v>
      </c>
      <c r="D6" s="14" t="s">
        <v>21</v>
      </c>
      <c r="E6" s="14" t="s">
        <v>22</v>
      </c>
      <c r="F6" s="14" t="s">
        <v>23</v>
      </c>
      <c r="G6" s="14" t="s">
        <v>2</v>
      </c>
      <c r="H6" s="14" t="s">
        <v>29</v>
      </c>
      <c r="I6" s="21" t="s">
        <v>2</v>
      </c>
      <c r="J6" s="31" t="s">
        <v>3</v>
      </c>
      <c r="K6" s="9" t="s">
        <v>4</v>
      </c>
      <c r="L6" s="9" t="s">
        <v>5</v>
      </c>
      <c r="M6" s="9" t="s">
        <v>6</v>
      </c>
      <c r="N6" s="9" t="s">
        <v>7</v>
      </c>
      <c r="O6" s="9" t="s">
        <v>8</v>
      </c>
      <c r="P6" s="22" t="s">
        <v>33</v>
      </c>
      <c r="Q6" s="9" t="s">
        <v>9</v>
      </c>
      <c r="R6" s="9" t="s">
        <v>10</v>
      </c>
      <c r="S6" s="9" t="s">
        <v>11</v>
      </c>
      <c r="T6" s="9" t="s">
        <v>12</v>
      </c>
      <c r="U6" s="9" t="s">
        <v>13</v>
      </c>
      <c r="V6" s="9" t="s">
        <v>14</v>
      </c>
      <c r="W6" s="10" t="s">
        <v>15</v>
      </c>
      <c r="X6" s="31" t="s">
        <v>3</v>
      </c>
      <c r="Y6" s="9" t="s">
        <v>4</v>
      </c>
      <c r="Z6" s="9" t="s">
        <v>5</v>
      </c>
      <c r="AA6" s="9" t="s">
        <v>6</v>
      </c>
      <c r="AB6" s="9" t="s">
        <v>7</v>
      </c>
      <c r="AC6" s="9" t="s">
        <v>8</v>
      </c>
      <c r="AD6" s="22" t="s">
        <v>33</v>
      </c>
      <c r="AE6" s="9" t="s">
        <v>9</v>
      </c>
      <c r="AF6" s="9" t="s">
        <v>10</v>
      </c>
      <c r="AG6" s="9" t="s">
        <v>11</v>
      </c>
      <c r="AH6" s="9" t="s">
        <v>12</v>
      </c>
      <c r="AI6" s="9" t="s">
        <v>13</v>
      </c>
      <c r="AJ6" s="9" t="s">
        <v>14</v>
      </c>
      <c r="AK6" s="10" t="s">
        <v>15</v>
      </c>
    </row>
    <row r="7" spans="1:38" ht="15.75" x14ac:dyDescent="0.25">
      <c r="A7" s="15" t="s">
        <v>24</v>
      </c>
      <c r="B7" s="46" t="s">
        <v>82</v>
      </c>
      <c r="C7" s="47" t="s">
        <v>28</v>
      </c>
      <c r="D7" s="46">
        <v>10</v>
      </c>
      <c r="F7" s="48" t="s">
        <v>125</v>
      </c>
      <c r="H7" s="47" t="s">
        <v>100</v>
      </c>
      <c r="I7" s="23" t="s">
        <v>34</v>
      </c>
      <c r="J7" s="32">
        <v>5.4200000000000003E-3</v>
      </c>
      <c r="K7" s="1">
        <v>1.7929999999999999</v>
      </c>
      <c r="L7" s="40" t="s">
        <v>35</v>
      </c>
      <c r="M7" s="1">
        <v>3.074E-2</v>
      </c>
      <c r="N7" s="1">
        <v>4.47</v>
      </c>
      <c r="O7" s="1">
        <v>4.0039999999999996</v>
      </c>
      <c r="P7" s="1">
        <v>0.27089999999999997</v>
      </c>
      <c r="Q7" s="1">
        <v>1.418E-3</v>
      </c>
      <c r="R7" s="1">
        <v>3.097</v>
      </c>
      <c r="S7" s="1">
        <v>1.216</v>
      </c>
      <c r="T7" s="1">
        <v>5.6189999999999997E-2</v>
      </c>
      <c r="U7" s="1">
        <v>0.3085</v>
      </c>
      <c r="V7" s="1">
        <v>9.2630000000000004E-3</v>
      </c>
      <c r="W7" s="3">
        <v>2.2029999999999998</v>
      </c>
      <c r="X7" s="11">
        <v>4.7349999999999996E-3</v>
      </c>
      <c r="Y7" s="1">
        <v>2.9060000000000001</v>
      </c>
      <c r="Z7" s="43" t="s">
        <v>35</v>
      </c>
      <c r="AA7" s="1">
        <v>8.2529999999999999E-3</v>
      </c>
      <c r="AB7" s="1">
        <v>10.28</v>
      </c>
      <c r="AC7" s="1">
        <v>5.1280000000000001</v>
      </c>
      <c r="AD7" s="1">
        <v>0.35420000000000001</v>
      </c>
      <c r="AE7" s="1">
        <v>1.6459999999999999E-3</v>
      </c>
      <c r="AF7" s="1">
        <v>4.6559999999999997</v>
      </c>
      <c r="AG7" s="1">
        <v>2.1680000000000001</v>
      </c>
      <c r="AH7" s="1">
        <v>5.3629999999999997E-2</v>
      </c>
      <c r="AI7" s="1">
        <v>0.50509999999999999</v>
      </c>
      <c r="AJ7" s="2" t="s">
        <v>35</v>
      </c>
      <c r="AK7" s="3">
        <v>1.2549999999999999</v>
      </c>
      <c r="AL7"/>
    </row>
    <row r="8" spans="1:38" ht="15.75" x14ac:dyDescent="0.25">
      <c r="A8" s="15" t="s">
        <v>24</v>
      </c>
      <c r="B8" s="46" t="s">
        <v>82</v>
      </c>
      <c r="C8" s="47" t="s">
        <v>28</v>
      </c>
      <c r="D8" s="46">
        <v>10</v>
      </c>
      <c r="E8" s="26"/>
      <c r="F8" s="48" t="s">
        <v>116</v>
      </c>
      <c r="G8" s="26"/>
      <c r="H8" s="47" t="s">
        <v>100</v>
      </c>
      <c r="I8" s="24" t="s">
        <v>36</v>
      </c>
      <c r="J8" s="33">
        <v>8.5850000000000006E-3</v>
      </c>
      <c r="K8" s="13">
        <v>1.9059999999999999</v>
      </c>
      <c r="L8" s="41"/>
      <c r="M8" s="13">
        <v>3.4509999999999999E-2</v>
      </c>
      <c r="N8" s="13">
        <v>6.681</v>
      </c>
      <c r="O8" s="13">
        <v>4.9349999999999996</v>
      </c>
      <c r="P8" s="13">
        <v>0.29010000000000002</v>
      </c>
      <c r="Q8" s="13">
        <v>1.513E-3</v>
      </c>
      <c r="R8" s="13">
        <v>3.1749999999999998</v>
      </c>
      <c r="S8" s="13">
        <v>1.9450000000000001</v>
      </c>
      <c r="T8" s="13">
        <v>6.9589999999999999E-2</v>
      </c>
      <c r="U8" s="13">
        <v>0.42670000000000002</v>
      </c>
      <c r="V8" s="13">
        <v>8.4539999999999997E-3</v>
      </c>
      <c r="W8" s="16">
        <v>1.901</v>
      </c>
      <c r="X8" s="35">
        <v>6.1640000000000002E-3</v>
      </c>
      <c r="Y8" s="13">
        <v>2.0609999999999999</v>
      </c>
      <c r="Z8" s="44"/>
      <c r="AA8" s="13">
        <v>2.503E-2</v>
      </c>
      <c r="AB8" s="13">
        <v>9.4909999999999997</v>
      </c>
      <c r="AC8" s="13">
        <v>5.31</v>
      </c>
      <c r="AD8" s="13">
        <v>0.31090000000000001</v>
      </c>
      <c r="AE8" s="13">
        <v>1.261E-3</v>
      </c>
      <c r="AF8" s="13">
        <v>5.35</v>
      </c>
      <c r="AG8" s="13">
        <v>1.9330000000000001</v>
      </c>
      <c r="AH8" s="13">
        <v>2.4369999999999999E-2</v>
      </c>
      <c r="AI8" s="13">
        <v>0.4335</v>
      </c>
      <c r="AJ8" s="13">
        <v>1.023E-2</v>
      </c>
      <c r="AK8" s="16">
        <v>2.5619999999999998</v>
      </c>
      <c r="AL8"/>
    </row>
    <row r="9" spans="1:38" ht="15.75" x14ac:dyDescent="0.25">
      <c r="A9" s="15" t="s">
        <v>24</v>
      </c>
      <c r="B9" s="46" t="s">
        <v>82</v>
      </c>
      <c r="C9" s="47" t="s">
        <v>28</v>
      </c>
      <c r="D9" s="46">
        <v>10</v>
      </c>
      <c r="E9" s="26"/>
      <c r="F9" s="48" t="s">
        <v>117</v>
      </c>
      <c r="G9" s="26"/>
      <c r="H9" s="47" t="s">
        <v>100</v>
      </c>
      <c r="I9" s="24" t="s">
        <v>37</v>
      </c>
      <c r="J9" s="33">
        <v>9.2739999999999993E-3</v>
      </c>
      <c r="K9" s="13">
        <v>2.008</v>
      </c>
      <c r="L9" s="41"/>
      <c r="M9" s="13">
        <v>2.0119999999999999E-2</v>
      </c>
      <c r="N9" s="13">
        <v>9.0559999999999992</v>
      </c>
      <c r="O9" s="13">
        <v>4.8419999999999996</v>
      </c>
      <c r="P9" s="13">
        <v>0.30020000000000002</v>
      </c>
      <c r="Q9" s="13">
        <v>1.5269999999999999E-3</v>
      </c>
      <c r="R9" s="13">
        <v>2.5640000000000001</v>
      </c>
      <c r="S9" s="13">
        <v>2.81</v>
      </c>
      <c r="T9" s="13">
        <v>5.5660000000000001E-2</v>
      </c>
      <c r="U9" s="13">
        <v>0.48010000000000003</v>
      </c>
      <c r="V9" s="13">
        <v>1.1979999999999999E-2</v>
      </c>
      <c r="W9" s="16">
        <v>3.0369999999999999</v>
      </c>
      <c r="X9" s="35">
        <v>7.6270000000000001E-3</v>
      </c>
      <c r="Y9" s="13">
        <v>1.6339999999999999</v>
      </c>
      <c r="Z9" s="44"/>
      <c r="AA9" s="13">
        <v>9.4939999999999997E-2</v>
      </c>
      <c r="AB9" s="13">
        <v>10.81</v>
      </c>
      <c r="AC9" s="13">
        <v>5.8070000000000004</v>
      </c>
      <c r="AD9" s="13">
        <v>0.34320000000000001</v>
      </c>
      <c r="AE9" s="13">
        <v>1.761E-3</v>
      </c>
      <c r="AF9" s="13">
        <v>5.1740000000000004</v>
      </c>
      <c r="AG9" s="13">
        <v>2.3889999999999998</v>
      </c>
      <c r="AH9" s="13">
        <v>4.9579999999999999E-2</v>
      </c>
      <c r="AI9" s="13">
        <v>0.3639</v>
      </c>
      <c r="AJ9" s="13">
        <v>9.4190000000000003E-3</v>
      </c>
      <c r="AK9" s="16">
        <v>2.629</v>
      </c>
      <c r="AL9"/>
    </row>
    <row r="10" spans="1:38" ht="15.75" x14ac:dyDescent="0.25">
      <c r="A10" s="15" t="s">
        <v>24</v>
      </c>
      <c r="B10" s="46" t="s">
        <v>82</v>
      </c>
      <c r="C10" s="47" t="s">
        <v>28</v>
      </c>
      <c r="D10" s="46">
        <v>10</v>
      </c>
      <c r="F10" s="48" t="s">
        <v>127</v>
      </c>
      <c r="H10" s="47" t="s">
        <v>100</v>
      </c>
      <c r="I10" s="24" t="s">
        <v>38</v>
      </c>
      <c r="J10" s="33">
        <v>5.3119999999999999E-3</v>
      </c>
      <c r="K10" s="13">
        <v>1.9890000000000001</v>
      </c>
      <c r="L10" s="41"/>
      <c r="M10" s="13">
        <v>3.5380000000000002E-2</v>
      </c>
      <c r="N10" s="13">
        <v>5.5940000000000003</v>
      </c>
      <c r="O10" s="13">
        <v>4.1360000000000001</v>
      </c>
      <c r="P10" s="13">
        <v>0.29559999999999997</v>
      </c>
      <c r="Q10" s="13">
        <v>1.833E-3</v>
      </c>
      <c r="R10" s="13">
        <v>3.1389999999999998</v>
      </c>
      <c r="S10" s="13">
        <v>1.595</v>
      </c>
      <c r="T10" s="13">
        <v>3.6549999999999999E-2</v>
      </c>
      <c r="U10" s="13">
        <v>0.4587</v>
      </c>
      <c r="V10" s="13">
        <v>9.2320000000000006E-3</v>
      </c>
      <c r="W10" s="16">
        <v>2.367</v>
      </c>
      <c r="X10" s="35">
        <v>5.829E-3</v>
      </c>
      <c r="Y10" s="13">
        <v>2.2269999999999999</v>
      </c>
      <c r="Z10" s="44"/>
      <c r="AA10" s="13">
        <v>1.2500000000000001E-2</v>
      </c>
      <c r="AB10" s="13">
        <v>8.7949999999999999</v>
      </c>
      <c r="AC10" s="13">
        <v>4.7569999999999997</v>
      </c>
      <c r="AD10" s="13">
        <v>0.3372</v>
      </c>
      <c r="AE10" s="13">
        <v>1.6930000000000001E-3</v>
      </c>
      <c r="AF10" s="13">
        <v>4.6479999999999997</v>
      </c>
      <c r="AG10" s="13">
        <v>1.9419999999999999</v>
      </c>
      <c r="AH10" s="13">
        <v>4.299E-2</v>
      </c>
      <c r="AI10" s="13">
        <v>0.56120000000000003</v>
      </c>
      <c r="AJ10" s="13">
        <v>1.611E-3</v>
      </c>
      <c r="AK10" s="16">
        <v>2.165</v>
      </c>
      <c r="AL10"/>
    </row>
    <row r="11" spans="1:38" ht="15.75" x14ac:dyDescent="0.25">
      <c r="A11" s="15" t="s">
        <v>24</v>
      </c>
      <c r="B11" s="46" t="s">
        <v>82</v>
      </c>
      <c r="C11" s="47" t="s">
        <v>28</v>
      </c>
      <c r="D11" s="46">
        <v>10</v>
      </c>
      <c r="F11" s="48" t="s">
        <v>126</v>
      </c>
      <c r="H11" s="47" t="s">
        <v>100</v>
      </c>
      <c r="I11" s="24" t="s">
        <v>39</v>
      </c>
      <c r="J11" s="33">
        <v>7.3020000000000003E-3</v>
      </c>
      <c r="K11" s="13">
        <v>1.6919999999999999</v>
      </c>
      <c r="L11" s="41"/>
      <c r="M11" s="13">
        <v>2.1499999999999998E-2</v>
      </c>
      <c r="N11" s="13">
        <v>5.125</v>
      </c>
      <c r="O11" s="13">
        <v>3.7869999999999999</v>
      </c>
      <c r="P11" s="13">
        <v>0.2525</v>
      </c>
      <c r="Q11" s="13">
        <v>9.9050000000000006E-4</v>
      </c>
      <c r="R11" s="13">
        <v>2.9969999999999999</v>
      </c>
      <c r="S11" s="13">
        <v>1.5429999999999999</v>
      </c>
      <c r="T11" s="13">
        <v>5.1909999999999998E-2</v>
      </c>
      <c r="U11" s="13">
        <v>0.37080000000000002</v>
      </c>
      <c r="V11" s="13">
        <v>8.4169999999999991E-3</v>
      </c>
      <c r="W11" s="16">
        <v>2.5910000000000002</v>
      </c>
      <c r="X11" s="35">
        <v>4.5820000000000001E-3</v>
      </c>
      <c r="Y11" s="13">
        <v>2.1859999999999999</v>
      </c>
      <c r="Z11" s="44"/>
      <c r="AA11" s="13">
        <v>1.2999999999999999E-2</v>
      </c>
      <c r="AB11" s="13">
        <v>7.9420000000000002</v>
      </c>
      <c r="AC11" s="13">
        <v>4.5369999999999999</v>
      </c>
      <c r="AD11" s="13">
        <v>0.2883</v>
      </c>
      <c r="AE11" s="13">
        <v>1.235E-3</v>
      </c>
      <c r="AF11" s="13">
        <v>4.2009999999999996</v>
      </c>
      <c r="AG11" s="13">
        <v>2.0449999999999999</v>
      </c>
      <c r="AH11" s="13">
        <v>4.8930000000000001E-2</v>
      </c>
      <c r="AI11" s="13">
        <v>0.37840000000000001</v>
      </c>
      <c r="AJ11" s="13">
        <v>1.094E-2</v>
      </c>
      <c r="AK11" s="16">
        <v>2.6909999999999998</v>
      </c>
    </row>
    <row r="12" spans="1:38" ht="15.75" x14ac:dyDescent="0.25">
      <c r="A12" s="15" t="s">
        <v>24</v>
      </c>
      <c r="B12" s="46" t="s">
        <v>82</v>
      </c>
      <c r="C12" s="47" t="s">
        <v>28</v>
      </c>
      <c r="D12" s="46">
        <v>11</v>
      </c>
      <c r="F12" s="48" t="s">
        <v>84</v>
      </c>
      <c r="H12" s="47" t="s">
        <v>26</v>
      </c>
      <c r="I12" s="24" t="s">
        <v>40</v>
      </c>
      <c r="J12" s="33">
        <v>2.9659999999999999E-3</v>
      </c>
      <c r="K12" s="13">
        <v>3.06</v>
      </c>
      <c r="L12" s="41"/>
      <c r="M12" s="13">
        <v>2.7910000000000001E-2</v>
      </c>
      <c r="N12" s="13">
        <v>12.31</v>
      </c>
      <c r="O12" s="13">
        <v>4.0469999999999997</v>
      </c>
      <c r="P12" s="13">
        <v>0.33910000000000001</v>
      </c>
      <c r="Q12" s="13">
        <v>1.1069999999999999E-3</v>
      </c>
      <c r="R12" s="13">
        <v>2.8260000000000001</v>
      </c>
      <c r="S12" s="13">
        <v>3.6680000000000001</v>
      </c>
      <c r="T12" s="13">
        <v>4.2099999999999999E-2</v>
      </c>
      <c r="U12" s="13">
        <v>0.41220000000000001</v>
      </c>
      <c r="V12" s="13">
        <v>5.8110000000000002E-3</v>
      </c>
      <c r="W12" s="16">
        <v>2.6779999999999999</v>
      </c>
      <c r="X12" s="35">
        <v>4.4209999999999996E-3</v>
      </c>
      <c r="Y12" s="13">
        <v>3.798</v>
      </c>
      <c r="Z12" s="44"/>
      <c r="AA12" s="13">
        <v>1.1820000000000001E-2</v>
      </c>
      <c r="AB12" s="13">
        <v>8.8889999999999993</v>
      </c>
      <c r="AC12" s="13">
        <v>3.7519999999999998</v>
      </c>
      <c r="AD12" s="13">
        <v>0.33119999999999999</v>
      </c>
      <c r="AE12" s="13">
        <v>1.4519999999999999E-3</v>
      </c>
      <c r="AF12" s="13">
        <v>4.0250000000000004</v>
      </c>
      <c r="AG12" s="13">
        <v>2.57</v>
      </c>
      <c r="AH12" s="13">
        <v>2.3089999999999999E-2</v>
      </c>
      <c r="AI12" s="13">
        <v>0.52159999999999995</v>
      </c>
      <c r="AJ12" s="13">
        <v>4.7840000000000001E-3</v>
      </c>
      <c r="AK12" s="16">
        <v>2.597</v>
      </c>
    </row>
    <row r="13" spans="1:38" ht="15.75" x14ac:dyDescent="0.25">
      <c r="A13" s="15" t="s">
        <v>24</v>
      </c>
      <c r="B13" s="46" t="s">
        <v>82</v>
      </c>
      <c r="C13" s="47" t="s">
        <v>28</v>
      </c>
      <c r="D13" s="46">
        <v>11</v>
      </c>
      <c r="F13" s="48" t="s">
        <v>83</v>
      </c>
      <c r="H13" s="47" t="s">
        <v>26</v>
      </c>
      <c r="I13" s="24" t="s">
        <v>41</v>
      </c>
      <c r="J13" s="33">
        <v>2.8389999999999999E-3</v>
      </c>
      <c r="K13" s="13">
        <v>2.746</v>
      </c>
      <c r="L13" s="41"/>
      <c r="M13" s="13">
        <v>2.0920000000000001E-2</v>
      </c>
      <c r="N13" s="13">
        <v>10.06</v>
      </c>
      <c r="O13" s="13">
        <v>4.1550000000000002</v>
      </c>
      <c r="P13" s="13">
        <v>0.34260000000000002</v>
      </c>
      <c r="Q13" s="13">
        <v>1.284E-3</v>
      </c>
      <c r="R13" s="13">
        <v>2.1230000000000002</v>
      </c>
      <c r="S13" s="13">
        <v>3.0209999999999999</v>
      </c>
      <c r="T13" s="13">
        <v>2.8840000000000001E-2</v>
      </c>
      <c r="U13" s="13">
        <v>0.36330000000000001</v>
      </c>
      <c r="V13" s="13">
        <v>8.3289999999999996E-3</v>
      </c>
      <c r="W13" s="16">
        <v>2.1909999999999998</v>
      </c>
      <c r="X13" s="35">
        <v>5.0790000000000002E-3</v>
      </c>
      <c r="Y13" s="13">
        <v>2.96</v>
      </c>
      <c r="Z13" s="44"/>
      <c r="AA13" s="13">
        <v>1.2019999999999999E-2</v>
      </c>
      <c r="AB13" s="13">
        <v>8.6219999999999999</v>
      </c>
      <c r="AC13" s="13">
        <v>4.0780000000000003</v>
      </c>
      <c r="AD13" s="13">
        <v>0.40210000000000001</v>
      </c>
      <c r="AE13" s="13">
        <v>1.7600000000000001E-3</v>
      </c>
      <c r="AF13" s="13">
        <v>5.3479999999999999</v>
      </c>
      <c r="AG13" s="13">
        <v>2.6040000000000001</v>
      </c>
      <c r="AH13" s="13">
        <v>3.6799999999999999E-2</v>
      </c>
      <c r="AI13" s="13">
        <v>0.46860000000000002</v>
      </c>
      <c r="AJ13" s="13">
        <v>3.2820000000000002E-3</v>
      </c>
      <c r="AK13" s="16">
        <v>2.2949999999999999</v>
      </c>
    </row>
    <row r="14" spans="1:38" ht="15.75" x14ac:dyDescent="0.25">
      <c r="A14" s="15" t="s">
        <v>24</v>
      </c>
      <c r="B14" s="46" t="s">
        <v>82</v>
      </c>
      <c r="C14" s="47" t="s">
        <v>28</v>
      </c>
      <c r="D14" s="46">
        <v>11</v>
      </c>
      <c r="F14" s="48" t="s">
        <v>85</v>
      </c>
      <c r="H14" s="47" t="s">
        <v>26</v>
      </c>
      <c r="I14" s="24" t="s">
        <v>42</v>
      </c>
      <c r="J14" s="33">
        <v>6.8129999999999996E-3</v>
      </c>
      <c r="K14" s="13">
        <v>2.964</v>
      </c>
      <c r="L14" s="41"/>
      <c r="M14" s="13">
        <v>2.9020000000000001E-2</v>
      </c>
      <c r="N14" s="13">
        <v>11.57</v>
      </c>
      <c r="O14" s="13">
        <v>4.5270000000000001</v>
      </c>
      <c r="P14" s="13">
        <v>0.35060000000000002</v>
      </c>
      <c r="Q14" s="13">
        <v>1.4300000000000001E-3</v>
      </c>
      <c r="R14" s="13">
        <v>2.7130000000000001</v>
      </c>
      <c r="S14" s="13">
        <v>2.6640000000000001</v>
      </c>
      <c r="T14" s="13">
        <v>4.8000000000000001E-2</v>
      </c>
      <c r="U14" s="13">
        <v>0.4652</v>
      </c>
      <c r="V14" s="13">
        <v>8.116E-3</v>
      </c>
      <c r="W14" s="16">
        <v>3.1070000000000002</v>
      </c>
      <c r="X14" s="35">
        <v>7.208E-3</v>
      </c>
      <c r="Y14" s="13">
        <v>2.6920000000000002</v>
      </c>
      <c r="Z14" s="44"/>
      <c r="AA14" s="13">
        <v>1.431E-2</v>
      </c>
      <c r="AB14" s="13">
        <v>9.9079999999999995</v>
      </c>
      <c r="AC14" s="13">
        <v>4.0739999999999998</v>
      </c>
      <c r="AD14" s="13">
        <v>0.34499999999999997</v>
      </c>
      <c r="AE14" s="13">
        <v>2.3349999999999998E-3</v>
      </c>
      <c r="AF14" s="13">
        <v>3.8730000000000002</v>
      </c>
      <c r="AG14" s="13">
        <v>2.0939999999999999</v>
      </c>
      <c r="AH14" s="13">
        <v>4.437E-2</v>
      </c>
      <c r="AI14" s="13">
        <v>0.6371</v>
      </c>
      <c r="AJ14" s="13">
        <v>6.0870000000000004E-3</v>
      </c>
      <c r="AK14" s="16">
        <v>2.6789999999999998</v>
      </c>
      <c r="AL14"/>
    </row>
    <row r="15" spans="1:38" ht="15.75" x14ac:dyDescent="0.25">
      <c r="A15" s="15" t="s">
        <v>24</v>
      </c>
      <c r="B15" s="46" t="s">
        <v>82</v>
      </c>
      <c r="C15" s="47" t="s">
        <v>28</v>
      </c>
      <c r="D15" s="46">
        <v>11</v>
      </c>
      <c r="F15" s="48" t="s">
        <v>120</v>
      </c>
      <c r="H15" s="47" t="s">
        <v>100</v>
      </c>
      <c r="I15" s="24" t="s">
        <v>43</v>
      </c>
      <c r="J15" s="33">
        <v>6.2160000000000002E-3</v>
      </c>
      <c r="K15" s="13">
        <v>2.2789999999999999</v>
      </c>
      <c r="L15" s="41"/>
      <c r="M15" s="13">
        <v>1.6750000000000001E-2</v>
      </c>
      <c r="N15" s="13">
        <v>6.7089999999999996</v>
      </c>
      <c r="O15" s="13">
        <v>3.5830000000000002</v>
      </c>
      <c r="P15" s="13">
        <v>0.25540000000000002</v>
      </c>
      <c r="Q15" s="13">
        <v>1.372E-3</v>
      </c>
      <c r="R15" s="13">
        <v>1.9650000000000001</v>
      </c>
      <c r="S15" s="13">
        <v>2.1440000000000001</v>
      </c>
      <c r="T15" s="13">
        <v>4.4749999999999998E-2</v>
      </c>
      <c r="U15" s="13">
        <v>0.3594</v>
      </c>
      <c r="V15" s="13">
        <v>8.8439999999999994E-3</v>
      </c>
      <c r="W15" s="16">
        <v>2.0350000000000001</v>
      </c>
      <c r="X15" s="35">
        <v>7.979E-3</v>
      </c>
      <c r="Y15" s="13">
        <v>2.4870000000000001</v>
      </c>
      <c r="Z15" s="44"/>
      <c r="AA15" s="13">
        <v>1.0030000000000001E-2</v>
      </c>
      <c r="AB15" s="13">
        <v>8.6310000000000002</v>
      </c>
      <c r="AC15" s="13">
        <v>5.2839999999999998</v>
      </c>
      <c r="AD15" s="13">
        <v>0.33410000000000001</v>
      </c>
      <c r="AE15" s="13">
        <v>1.748E-3</v>
      </c>
      <c r="AF15" s="13">
        <v>4.9210000000000003</v>
      </c>
      <c r="AG15" s="13">
        <v>1.7490000000000001</v>
      </c>
      <c r="AH15" s="13">
        <v>4.5839999999999999E-2</v>
      </c>
      <c r="AI15" s="13">
        <v>0.45760000000000001</v>
      </c>
      <c r="AJ15" s="13">
        <v>3.5000000000000001E-3</v>
      </c>
      <c r="AK15" s="16">
        <v>2.0139999999999998</v>
      </c>
      <c r="AL15"/>
    </row>
    <row r="16" spans="1:38" ht="15.75" x14ac:dyDescent="0.25">
      <c r="A16" s="15" t="s">
        <v>24</v>
      </c>
      <c r="B16" s="46" t="s">
        <v>82</v>
      </c>
      <c r="C16" s="47" t="s">
        <v>28</v>
      </c>
      <c r="D16" s="46">
        <v>11</v>
      </c>
      <c r="F16" s="48" t="s">
        <v>121</v>
      </c>
      <c r="H16" s="47" t="s">
        <v>100</v>
      </c>
      <c r="I16" s="24" t="s">
        <v>44</v>
      </c>
      <c r="J16" s="33">
        <v>6.3140000000000002E-3</v>
      </c>
      <c r="K16" s="13">
        <v>2.4249999999999998</v>
      </c>
      <c r="L16" s="41"/>
      <c r="M16" s="13">
        <v>4.0489999999999998E-2</v>
      </c>
      <c r="N16" s="13">
        <v>6.694</v>
      </c>
      <c r="O16" s="13">
        <v>5.2830000000000004</v>
      </c>
      <c r="P16" s="13">
        <v>0.31359999999999999</v>
      </c>
      <c r="Q16" s="13">
        <v>1.586E-3</v>
      </c>
      <c r="R16" s="13">
        <v>3.8690000000000002</v>
      </c>
      <c r="S16" s="13">
        <v>1.8560000000000001</v>
      </c>
      <c r="T16" s="13">
        <v>7.2690000000000005E-2</v>
      </c>
      <c r="U16" s="13">
        <v>0.42199999999999999</v>
      </c>
      <c r="V16" s="13">
        <v>6.7390000000000002E-3</v>
      </c>
      <c r="W16" s="16">
        <v>1.9370000000000001</v>
      </c>
      <c r="X16" s="35">
        <v>5.463E-3</v>
      </c>
      <c r="Y16" s="13">
        <v>1.9790000000000001</v>
      </c>
      <c r="Z16" s="44"/>
      <c r="AA16" s="13">
        <v>1.2959999999999999E-2</v>
      </c>
      <c r="AB16" s="13">
        <v>7.9729999999999999</v>
      </c>
      <c r="AC16" s="13">
        <v>5.5579999999999998</v>
      </c>
      <c r="AD16" s="13">
        <v>0.28820000000000001</v>
      </c>
      <c r="AE16" s="13">
        <v>1.6659999999999999E-3</v>
      </c>
      <c r="AF16" s="13">
        <v>4.4279999999999999</v>
      </c>
      <c r="AG16" s="13">
        <v>1.8149999999999999</v>
      </c>
      <c r="AH16" s="13">
        <v>5.688E-2</v>
      </c>
      <c r="AI16" s="13">
        <v>0.34360000000000002</v>
      </c>
      <c r="AJ16" s="13">
        <v>1.2529999999999999E-2</v>
      </c>
      <c r="AK16" s="16">
        <v>2.456</v>
      </c>
      <c r="AL16"/>
    </row>
    <row r="17" spans="1:46" ht="15.75" x14ac:dyDescent="0.25">
      <c r="A17" s="15" t="s">
        <v>24</v>
      </c>
      <c r="B17" s="46" t="s">
        <v>82</v>
      </c>
      <c r="C17" s="47" t="s">
        <v>28</v>
      </c>
      <c r="D17" s="46">
        <v>12</v>
      </c>
      <c r="E17" s="26"/>
      <c r="F17" s="48" t="s">
        <v>112</v>
      </c>
      <c r="H17" s="47" t="s">
        <v>97</v>
      </c>
      <c r="I17" s="24" t="s">
        <v>45</v>
      </c>
      <c r="J17" s="33">
        <v>8.4779999999999994E-3</v>
      </c>
      <c r="K17" s="13">
        <v>1.73</v>
      </c>
      <c r="L17" s="41"/>
      <c r="M17" s="13">
        <v>2.1069999999999998E-2</v>
      </c>
      <c r="N17" s="13">
        <v>6.6929999999999996</v>
      </c>
      <c r="O17" s="13">
        <v>4.8890000000000002</v>
      </c>
      <c r="P17" s="13">
        <v>0.31430000000000002</v>
      </c>
      <c r="Q17" s="13">
        <v>2.1949999999999999E-3</v>
      </c>
      <c r="R17" s="13">
        <v>2.641</v>
      </c>
      <c r="S17" s="13">
        <v>2.254</v>
      </c>
      <c r="T17" s="13">
        <v>2.4709999999999999E-2</v>
      </c>
      <c r="U17" s="13">
        <v>0.52239999999999998</v>
      </c>
      <c r="V17" s="13">
        <v>7.0410000000000004E-3</v>
      </c>
      <c r="W17" s="16">
        <v>2.069</v>
      </c>
      <c r="X17" s="35">
        <v>8.3979999999999992E-3</v>
      </c>
      <c r="Y17" s="13">
        <v>1.7549999999999999</v>
      </c>
      <c r="Z17" s="44"/>
      <c r="AA17" s="13">
        <v>1.3860000000000001E-2</v>
      </c>
      <c r="AB17" s="13">
        <v>8.516</v>
      </c>
      <c r="AC17" s="13">
        <v>5.008</v>
      </c>
      <c r="AD17" s="13">
        <v>0.32719999999999999</v>
      </c>
      <c r="AE17" s="13">
        <v>2.5899999999999999E-3</v>
      </c>
      <c r="AF17" s="13">
        <v>4.6429999999999998</v>
      </c>
      <c r="AG17" s="13">
        <v>2.1070000000000002</v>
      </c>
      <c r="AH17" s="13">
        <v>4.052E-2</v>
      </c>
      <c r="AI17" s="13">
        <v>0.51680000000000004</v>
      </c>
      <c r="AJ17" s="13">
        <v>3.9249999999999997E-3</v>
      </c>
      <c r="AK17" s="16">
        <v>2.3340000000000001</v>
      </c>
    </row>
    <row r="18" spans="1:46" ht="15.75" x14ac:dyDescent="0.25">
      <c r="A18" s="15" t="s">
        <v>24</v>
      </c>
      <c r="B18" s="46" t="s">
        <v>82</v>
      </c>
      <c r="C18" s="47" t="s">
        <v>28</v>
      </c>
      <c r="D18" s="46">
        <v>12</v>
      </c>
      <c r="E18" s="26"/>
      <c r="F18" s="48" t="s">
        <v>110</v>
      </c>
      <c r="H18" s="47" t="s">
        <v>97</v>
      </c>
      <c r="I18" s="24" t="s">
        <v>46</v>
      </c>
      <c r="J18" s="33">
        <v>6.117E-3</v>
      </c>
      <c r="K18" s="13">
        <v>1.843</v>
      </c>
      <c r="L18" s="41"/>
      <c r="M18" s="13">
        <v>1.985E-2</v>
      </c>
      <c r="N18" s="13">
        <v>5.109</v>
      </c>
      <c r="O18" s="13">
        <v>4.9569999999999999</v>
      </c>
      <c r="P18" s="13">
        <v>0.32390000000000002</v>
      </c>
      <c r="Q18" s="13">
        <v>1.9910000000000001E-3</v>
      </c>
      <c r="R18" s="13">
        <v>2.0129999999999999</v>
      </c>
      <c r="S18" s="13">
        <v>1.54</v>
      </c>
      <c r="T18" s="13">
        <v>4.6129999999999997E-2</v>
      </c>
      <c r="U18" s="13">
        <v>0.35370000000000001</v>
      </c>
      <c r="V18" s="13">
        <v>1.545E-2</v>
      </c>
      <c r="W18" s="16">
        <v>1.8979999999999999</v>
      </c>
      <c r="X18" s="35">
        <v>5.5539999999999999E-3</v>
      </c>
      <c r="Y18" s="13">
        <v>1.593</v>
      </c>
      <c r="Z18" s="44"/>
      <c r="AA18" s="13">
        <v>1.005E-2</v>
      </c>
      <c r="AB18" s="13">
        <v>9.19</v>
      </c>
      <c r="AC18" s="13">
        <v>5.194</v>
      </c>
      <c r="AD18" s="13">
        <v>0.36009999999999998</v>
      </c>
      <c r="AE18" s="13">
        <v>2.63E-3</v>
      </c>
      <c r="AF18" s="13">
        <v>4.4279999999999999</v>
      </c>
      <c r="AG18" s="13">
        <v>2.0550000000000002</v>
      </c>
      <c r="AH18" s="13">
        <v>3.9109999999999999E-2</v>
      </c>
      <c r="AI18" s="13">
        <v>0.4335</v>
      </c>
      <c r="AJ18" s="13">
        <v>8.7119999999999993E-3</v>
      </c>
      <c r="AK18" s="16">
        <v>2.5379999999999998</v>
      </c>
    </row>
    <row r="19" spans="1:46" ht="15.75" x14ac:dyDescent="0.25">
      <c r="A19" s="15" t="s">
        <v>24</v>
      </c>
      <c r="B19" s="46" t="s">
        <v>82</v>
      </c>
      <c r="C19" s="47" t="s">
        <v>28</v>
      </c>
      <c r="D19" s="46">
        <v>12</v>
      </c>
      <c r="E19" s="26"/>
      <c r="F19" s="48" t="s">
        <v>111</v>
      </c>
      <c r="H19" s="47" t="s">
        <v>97</v>
      </c>
      <c r="I19" s="24" t="s">
        <v>47</v>
      </c>
      <c r="J19" s="33">
        <v>1.0880000000000001E-2</v>
      </c>
      <c r="K19" s="13">
        <v>1.974</v>
      </c>
      <c r="L19" s="41"/>
      <c r="M19" s="13">
        <v>2.5760000000000002E-2</v>
      </c>
      <c r="N19" s="13">
        <v>6.8680000000000003</v>
      </c>
      <c r="O19" s="13">
        <v>4.9489999999999998</v>
      </c>
      <c r="P19" s="13">
        <v>0.34089999999999998</v>
      </c>
      <c r="Q19" s="13">
        <v>2.4039999999999999E-3</v>
      </c>
      <c r="R19" s="13">
        <v>2.9060000000000001</v>
      </c>
      <c r="S19" s="13">
        <v>1.9370000000000001</v>
      </c>
      <c r="T19" s="13">
        <v>5.4510000000000003E-2</v>
      </c>
      <c r="U19" s="13">
        <v>0.54310000000000003</v>
      </c>
      <c r="V19" s="13">
        <v>8.6630000000000006E-3</v>
      </c>
      <c r="W19" s="16">
        <v>2.0840000000000001</v>
      </c>
      <c r="X19" s="35">
        <v>9.6570000000000007E-3</v>
      </c>
      <c r="Y19" s="13">
        <v>2.0790000000000002</v>
      </c>
      <c r="Z19" s="44"/>
      <c r="AA19" s="13">
        <v>8.0020000000000004E-3</v>
      </c>
      <c r="AB19" s="13">
        <v>9.4819999999999993</v>
      </c>
      <c r="AC19" s="13">
        <v>8.18</v>
      </c>
      <c r="AD19" s="13">
        <v>0.44450000000000001</v>
      </c>
      <c r="AE19" s="13">
        <v>2.9680000000000002E-3</v>
      </c>
      <c r="AF19" s="13">
        <v>4.1420000000000003</v>
      </c>
      <c r="AG19" s="13">
        <v>1.8819999999999999</v>
      </c>
      <c r="AH19" s="13">
        <v>3.209E-2</v>
      </c>
      <c r="AI19" s="13">
        <v>0.57989999999999997</v>
      </c>
      <c r="AJ19" s="13">
        <v>6.1349999999999998E-3</v>
      </c>
      <c r="AK19" s="16">
        <v>2.569</v>
      </c>
    </row>
    <row r="20" spans="1:46" ht="15.75" x14ac:dyDescent="0.25">
      <c r="A20" s="15" t="s">
        <v>24</v>
      </c>
      <c r="B20" s="46" t="s">
        <v>82</v>
      </c>
      <c r="C20" s="47" t="s">
        <v>25</v>
      </c>
      <c r="D20" s="46">
        <v>13</v>
      </c>
      <c r="F20" s="48" t="s">
        <v>101</v>
      </c>
      <c r="H20" s="47" t="s">
        <v>100</v>
      </c>
      <c r="I20" s="24" t="s">
        <v>48</v>
      </c>
      <c r="J20" s="33">
        <v>5.3030000000000004E-3</v>
      </c>
      <c r="K20" s="13">
        <v>1.425</v>
      </c>
      <c r="L20" s="41"/>
      <c r="M20" s="13">
        <v>1.3129999999999999E-2</v>
      </c>
      <c r="N20" s="13">
        <v>8.1430000000000007</v>
      </c>
      <c r="O20" s="13">
        <v>3.3530000000000002</v>
      </c>
      <c r="P20" s="13">
        <v>0.57040000000000002</v>
      </c>
      <c r="Q20" s="13">
        <v>1.6930000000000001E-3</v>
      </c>
      <c r="R20" s="13">
        <v>1.8149999999999999</v>
      </c>
      <c r="S20" s="13">
        <v>2.5649999999999999</v>
      </c>
      <c r="T20" s="13">
        <v>4.3099999999999999E-2</v>
      </c>
      <c r="U20" s="13">
        <v>0.53839999999999999</v>
      </c>
      <c r="V20" s="13">
        <v>6.1549999999999999E-3</v>
      </c>
      <c r="W20" s="16">
        <v>3.883</v>
      </c>
      <c r="X20" s="35">
        <v>1.0710000000000001E-2</v>
      </c>
      <c r="Y20" s="13">
        <v>3.052</v>
      </c>
      <c r="Z20" s="44"/>
      <c r="AA20" s="13">
        <v>2.1190000000000001E-2</v>
      </c>
      <c r="AB20" s="13">
        <v>10.76</v>
      </c>
      <c r="AC20" s="13">
        <v>6.5759999999999996</v>
      </c>
      <c r="AD20" s="13">
        <v>1.0660000000000001</v>
      </c>
      <c r="AE20" s="13">
        <v>3.8660000000000001E-3</v>
      </c>
      <c r="AF20" s="13">
        <v>5.6040000000000001</v>
      </c>
      <c r="AG20" s="13">
        <v>2.7450000000000001</v>
      </c>
      <c r="AH20" s="13">
        <v>9.2549999999999993E-2</v>
      </c>
      <c r="AI20" s="13">
        <v>1.0109999999999999</v>
      </c>
      <c r="AJ20" s="13">
        <v>3.7789999999999998E-3</v>
      </c>
      <c r="AK20" s="16">
        <v>1.4910000000000001</v>
      </c>
    </row>
    <row r="21" spans="1:46" ht="15.75" x14ac:dyDescent="0.25">
      <c r="A21" s="15" t="s">
        <v>24</v>
      </c>
      <c r="B21" s="46" t="s">
        <v>82</v>
      </c>
      <c r="C21" s="47" t="s">
        <v>25</v>
      </c>
      <c r="D21" s="46">
        <v>13</v>
      </c>
      <c r="F21" s="48" t="s">
        <v>102</v>
      </c>
      <c r="H21" s="47" t="s">
        <v>100</v>
      </c>
      <c r="I21" s="24" t="s">
        <v>49</v>
      </c>
      <c r="J21" s="33">
        <v>4.0870000000000004E-3</v>
      </c>
      <c r="K21" s="13">
        <v>0.98089999999999999</v>
      </c>
      <c r="L21" s="41"/>
      <c r="M21" s="13">
        <v>1.453E-2</v>
      </c>
      <c r="N21" s="13">
        <v>7.7240000000000002</v>
      </c>
      <c r="O21" s="13">
        <v>2.8290000000000002</v>
      </c>
      <c r="P21" s="13">
        <v>0.2157</v>
      </c>
      <c r="Q21" s="13">
        <v>1.008E-3</v>
      </c>
      <c r="R21" s="13">
        <v>1.6779999999999999</v>
      </c>
      <c r="S21" s="13">
        <v>2.6179999999999999</v>
      </c>
      <c r="T21" s="13">
        <v>3.1530000000000002E-2</v>
      </c>
      <c r="U21" s="13">
        <v>0.37040000000000001</v>
      </c>
      <c r="V21" s="13">
        <v>2.5829999999999998E-3</v>
      </c>
      <c r="W21" s="16">
        <v>1.6080000000000001</v>
      </c>
      <c r="X21" s="35">
        <v>1.093E-2</v>
      </c>
      <c r="Y21" s="13">
        <v>2.871</v>
      </c>
      <c r="Z21" s="44"/>
      <c r="AA21" s="13">
        <v>1.1780000000000001E-2</v>
      </c>
      <c r="AB21" s="13">
        <v>10.029999999999999</v>
      </c>
      <c r="AC21" s="13">
        <v>5.3639999999999999</v>
      </c>
      <c r="AD21" s="13">
        <v>0.32669999999999999</v>
      </c>
      <c r="AE21" s="13">
        <v>1.9719999999999998E-3</v>
      </c>
      <c r="AF21" s="13">
        <v>5.274</v>
      </c>
      <c r="AG21" s="13">
        <v>2.0129999999999999</v>
      </c>
      <c r="AH21" s="13">
        <v>4.2099999999999999E-2</v>
      </c>
      <c r="AI21" s="13">
        <v>0.64349999999999996</v>
      </c>
      <c r="AJ21" s="13">
        <v>3.3670000000000002E-3</v>
      </c>
      <c r="AK21" s="16">
        <v>2.1190000000000002</v>
      </c>
      <c r="AL21"/>
    </row>
    <row r="22" spans="1:46" ht="15.75" x14ac:dyDescent="0.25">
      <c r="A22" s="15" t="s">
        <v>24</v>
      </c>
      <c r="B22" s="46" t="s">
        <v>82</v>
      </c>
      <c r="C22" s="47" t="s">
        <v>25</v>
      </c>
      <c r="D22" s="46">
        <v>14</v>
      </c>
      <c r="F22" s="48" t="s">
        <v>107</v>
      </c>
      <c r="H22" s="47" t="s">
        <v>97</v>
      </c>
      <c r="I22" s="24" t="s">
        <v>50</v>
      </c>
      <c r="J22" s="33">
        <v>6.5259999999999997E-3</v>
      </c>
      <c r="K22" s="13">
        <v>2.3359999999999999</v>
      </c>
      <c r="L22" s="41"/>
      <c r="M22" s="13">
        <v>1.839E-2</v>
      </c>
      <c r="N22" s="13">
        <v>11.06</v>
      </c>
      <c r="O22" s="13">
        <v>4.1859999999999999</v>
      </c>
      <c r="P22" s="13">
        <v>0.35420000000000001</v>
      </c>
      <c r="Q22" s="13">
        <v>1.655E-3</v>
      </c>
      <c r="R22" s="13">
        <v>1.9139999999999999</v>
      </c>
      <c r="S22" s="13">
        <v>3.8610000000000002</v>
      </c>
      <c r="T22" s="13">
        <v>2.3769999999999999E-2</v>
      </c>
      <c r="U22" s="13">
        <v>0.57150000000000001</v>
      </c>
      <c r="V22" s="13">
        <v>9.3810000000000004E-3</v>
      </c>
      <c r="W22" s="16">
        <v>3.0219999999999998</v>
      </c>
      <c r="X22" s="35">
        <v>8.9969999999999998E-3</v>
      </c>
      <c r="Y22" s="13">
        <v>2.75</v>
      </c>
      <c r="Z22" s="44"/>
      <c r="AA22" s="13">
        <v>1.3690000000000001E-2</v>
      </c>
      <c r="AB22" s="13">
        <v>10.1</v>
      </c>
      <c r="AC22" s="13">
        <v>6.0419999999999998</v>
      </c>
      <c r="AD22" s="13">
        <v>0.39429999999999998</v>
      </c>
      <c r="AE22" s="13">
        <v>2.5279999999999999E-3</v>
      </c>
      <c r="AF22" s="13">
        <v>6.1639999999999997</v>
      </c>
      <c r="AG22" s="13">
        <v>1.931</v>
      </c>
      <c r="AH22" s="13">
        <v>5.5879999999999999E-2</v>
      </c>
      <c r="AI22" s="13">
        <v>0.79210000000000003</v>
      </c>
      <c r="AJ22" s="13">
        <v>3.3960000000000001E-3</v>
      </c>
      <c r="AK22" s="16">
        <v>1.3819999999999999</v>
      </c>
      <c r="AL22"/>
    </row>
    <row r="23" spans="1:46" ht="15.75" x14ac:dyDescent="0.25">
      <c r="A23" s="15" t="s">
        <v>24</v>
      </c>
      <c r="B23" s="46" t="s">
        <v>82</v>
      </c>
      <c r="C23" s="47" t="s">
        <v>25</v>
      </c>
      <c r="D23" s="46">
        <v>14</v>
      </c>
      <c r="E23" s="26"/>
      <c r="F23" s="48" t="s">
        <v>109</v>
      </c>
      <c r="G23" s="26"/>
      <c r="H23" s="47" t="s">
        <v>97</v>
      </c>
      <c r="I23" s="24" t="s">
        <v>51</v>
      </c>
      <c r="J23" s="33">
        <v>1.179E-2</v>
      </c>
      <c r="K23" s="13">
        <v>2.9980000000000002</v>
      </c>
      <c r="L23" s="41"/>
      <c r="M23" s="13">
        <v>4.2369999999999998E-2</v>
      </c>
      <c r="N23" s="13">
        <v>11.94</v>
      </c>
      <c r="O23" s="13">
        <v>9.4160000000000004</v>
      </c>
      <c r="P23" s="13">
        <v>0.81369999999999998</v>
      </c>
      <c r="Q23" s="13">
        <v>2.4550000000000002E-3</v>
      </c>
      <c r="R23" s="13">
        <v>2.1459999999999999</v>
      </c>
      <c r="S23" s="13">
        <v>4.0439999999999996</v>
      </c>
      <c r="T23" s="13">
        <v>9.0630000000000002E-2</v>
      </c>
      <c r="U23" s="13">
        <v>0.83560000000000001</v>
      </c>
      <c r="V23" s="13">
        <v>1.409E-2</v>
      </c>
      <c r="W23" s="16">
        <v>3.6429999999999998</v>
      </c>
      <c r="X23" s="35">
        <v>8.2244999999999992E-3</v>
      </c>
      <c r="Y23" s="13">
        <v>2.2664999999999997</v>
      </c>
      <c r="Z23" s="44"/>
      <c r="AA23" s="13">
        <v>1.2844499999999998E-2</v>
      </c>
      <c r="AB23" s="13">
        <v>10.517999999999999</v>
      </c>
      <c r="AC23" s="13">
        <v>5.8439999999999994</v>
      </c>
      <c r="AD23" s="13">
        <v>0.38220000000000004</v>
      </c>
      <c r="AE23" s="13">
        <v>2.2290000000000001E-3</v>
      </c>
      <c r="AF23" s="13">
        <v>5.8290000000000006</v>
      </c>
      <c r="AG23" s="13">
        <v>2.0055000000000001</v>
      </c>
      <c r="AH23" s="13">
        <v>5.7839999999999996E-2</v>
      </c>
      <c r="AI23" s="13">
        <v>0.77249999999999996</v>
      </c>
      <c r="AJ23" s="13">
        <v>3.6480000000000002E-3</v>
      </c>
      <c r="AK23" s="16">
        <v>1.3207499999999999</v>
      </c>
      <c r="AL23"/>
    </row>
    <row r="24" spans="1:46" ht="15.75" x14ac:dyDescent="0.25">
      <c r="A24" s="15" t="s">
        <v>24</v>
      </c>
      <c r="B24" s="46" t="s">
        <v>82</v>
      </c>
      <c r="C24" s="47" t="s">
        <v>25</v>
      </c>
      <c r="D24" s="46">
        <v>14</v>
      </c>
      <c r="F24" s="48" t="s">
        <v>108</v>
      </c>
      <c r="H24" s="47" t="s">
        <v>97</v>
      </c>
      <c r="I24" s="24" t="s">
        <v>52</v>
      </c>
      <c r="J24" s="33">
        <v>3.7109999999999999E-3</v>
      </c>
      <c r="K24" s="13">
        <v>1.5529999999999999</v>
      </c>
      <c r="L24" s="41"/>
      <c r="M24" s="13">
        <v>1.4149999999999999E-2</v>
      </c>
      <c r="N24" s="13">
        <v>7.851</v>
      </c>
      <c r="O24" s="13">
        <v>2.835</v>
      </c>
      <c r="P24" s="13">
        <v>0.22370000000000001</v>
      </c>
      <c r="Q24" s="13">
        <v>9.4339999999999995E-4</v>
      </c>
      <c r="R24" s="13">
        <v>1.714</v>
      </c>
      <c r="S24" s="13">
        <v>1.964</v>
      </c>
      <c r="T24" s="13">
        <v>3.2259999999999997E-2</v>
      </c>
      <c r="U24" s="13">
        <v>0.38159999999999999</v>
      </c>
      <c r="V24" s="13">
        <v>2.7030000000000001E-3</v>
      </c>
      <c r="W24" s="16">
        <v>2.464</v>
      </c>
      <c r="X24" s="38" t="s">
        <v>17</v>
      </c>
      <c r="Y24" s="36" t="s">
        <v>17</v>
      </c>
      <c r="Z24" s="44"/>
      <c r="AA24" s="36" t="s">
        <v>17</v>
      </c>
      <c r="AB24" s="36" t="s">
        <v>17</v>
      </c>
      <c r="AC24" s="36" t="s">
        <v>17</v>
      </c>
      <c r="AD24" s="36" t="s">
        <v>17</v>
      </c>
      <c r="AE24" s="36" t="s">
        <v>17</v>
      </c>
      <c r="AF24" s="36" t="s">
        <v>17</v>
      </c>
      <c r="AG24" s="36" t="s">
        <v>17</v>
      </c>
      <c r="AH24" s="36" t="s">
        <v>17</v>
      </c>
      <c r="AI24" s="36" t="s">
        <v>17</v>
      </c>
      <c r="AJ24" s="36" t="s">
        <v>17</v>
      </c>
      <c r="AK24" s="37" t="s">
        <v>17</v>
      </c>
      <c r="AL24"/>
    </row>
    <row r="25" spans="1:46" ht="15.75" x14ac:dyDescent="0.25">
      <c r="A25" s="15" t="s">
        <v>24</v>
      </c>
      <c r="B25" s="46" t="s">
        <v>82</v>
      </c>
      <c r="C25" s="47" t="s">
        <v>28</v>
      </c>
      <c r="D25" s="46">
        <v>15</v>
      </c>
      <c r="F25" s="48" t="s">
        <v>123</v>
      </c>
      <c r="H25" s="47" t="s">
        <v>100</v>
      </c>
      <c r="I25" s="24" t="s">
        <v>53</v>
      </c>
      <c r="J25" s="33">
        <v>1.1440000000000001E-2</v>
      </c>
      <c r="K25" s="13">
        <v>2.6379999999999999</v>
      </c>
      <c r="L25" s="41"/>
      <c r="M25" s="13">
        <v>4.1980000000000003E-2</v>
      </c>
      <c r="N25" s="13">
        <v>8.5960000000000001</v>
      </c>
      <c r="O25" s="13">
        <v>6.6859999999999999</v>
      </c>
      <c r="P25" s="13">
        <v>0.3231</v>
      </c>
      <c r="Q25" s="13">
        <v>1.771E-3</v>
      </c>
      <c r="R25" s="13">
        <v>4.2619999999999996</v>
      </c>
      <c r="S25" s="13">
        <v>2.4159999999999999</v>
      </c>
      <c r="T25" s="13">
        <v>5.1580000000000001E-2</v>
      </c>
      <c r="U25" s="13">
        <v>0.6149</v>
      </c>
      <c r="V25" s="13">
        <v>6.8580000000000004E-3</v>
      </c>
      <c r="W25" s="16">
        <v>2.5640000000000001</v>
      </c>
      <c r="X25" s="35">
        <v>1.367E-2</v>
      </c>
      <c r="Y25" s="13">
        <v>3.2109999999999999</v>
      </c>
      <c r="Z25" s="44"/>
      <c r="AA25" s="13">
        <v>8.7670000000000005E-3</v>
      </c>
      <c r="AB25" s="13">
        <v>10.91</v>
      </c>
      <c r="AC25" s="13">
        <v>5.0289999999999999</v>
      </c>
      <c r="AD25" s="13">
        <v>0.30570000000000003</v>
      </c>
      <c r="AE25" s="13">
        <v>1.8060000000000001E-3</v>
      </c>
      <c r="AF25" s="13">
        <v>4.8689999999999998</v>
      </c>
      <c r="AG25" s="13">
        <v>2.444</v>
      </c>
      <c r="AH25" s="13">
        <v>1.047E-2</v>
      </c>
      <c r="AI25" s="13">
        <v>0.58350000000000002</v>
      </c>
      <c r="AJ25" s="13">
        <v>8.7899999999999992E-3</v>
      </c>
      <c r="AK25" s="16">
        <v>2.7450000000000001</v>
      </c>
      <c r="AL25"/>
    </row>
    <row r="26" spans="1:46" ht="15.75" x14ac:dyDescent="0.25">
      <c r="A26" s="15" t="s">
        <v>24</v>
      </c>
      <c r="B26" s="46" t="s">
        <v>82</v>
      </c>
      <c r="C26" s="47" t="s">
        <v>28</v>
      </c>
      <c r="D26" s="46">
        <v>15</v>
      </c>
      <c r="F26" s="48" t="s">
        <v>122</v>
      </c>
      <c r="H26" s="47" t="s">
        <v>100</v>
      </c>
      <c r="I26" s="24" t="s">
        <v>54</v>
      </c>
      <c r="J26" s="33">
        <v>9.9369999999999997E-3</v>
      </c>
      <c r="K26" s="13">
        <v>1.7989999999999999</v>
      </c>
      <c r="L26" s="41"/>
      <c r="M26" s="13">
        <v>2.3800000000000002E-2</v>
      </c>
      <c r="N26" s="13">
        <v>6.1070000000000002</v>
      </c>
      <c r="O26" s="13">
        <v>3.8580000000000001</v>
      </c>
      <c r="P26" s="13">
        <v>0.29930000000000001</v>
      </c>
      <c r="Q26" s="13">
        <v>1.4760000000000001E-3</v>
      </c>
      <c r="R26" s="13">
        <v>2.89</v>
      </c>
      <c r="S26" s="13">
        <v>1.8109999999999999</v>
      </c>
      <c r="T26" s="13">
        <v>3.422E-2</v>
      </c>
      <c r="U26" s="13">
        <v>0.42180000000000001</v>
      </c>
      <c r="V26" s="13">
        <v>1.077E-2</v>
      </c>
      <c r="W26" s="16">
        <v>2.1379999999999999</v>
      </c>
      <c r="X26" s="35">
        <v>4.9119999999999997E-3</v>
      </c>
      <c r="Y26" s="13">
        <v>2.6030000000000002</v>
      </c>
      <c r="Z26" s="44"/>
      <c r="AA26" s="13">
        <v>1.3599999999999999E-2</v>
      </c>
      <c r="AB26" s="13">
        <v>9.6850000000000005</v>
      </c>
      <c r="AC26" s="13">
        <v>5.6059999999999999</v>
      </c>
      <c r="AD26" s="13">
        <v>0.38119999999999998</v>
      </c>
      <c r="AE26" s="13">
        <v>1.7589999999999999E-3</v>
      </c>
      <c r="AF26" s="13">
        <v>5.4669999999999996</v>
      </c>
      <c r="AG26" s="13">
        <v>2.0310000000000001</v>
      </c>
      <c r="AH26" s="13">
        <v>6.3250000000000001E-2</v>
      </c>
      <c r="AI26" s="13">
        <v>0.61850000000000005</v>
      </c>
      <c r="AJ26" s="13">
        <v>1.3159999999999999E-3</v>
      </c>
      <c r="AK26" s="16">
        <v>1.9730000000000001</v>
      </c>
      <c r="AL26"/>
    </row>
    <row r="27" spans="1:46" ht="15.75" x14ac:dyDescent="0.25">
      <c r="A27" s="15" t="s">
        <v>24</v>
      </c>
      <c r="B27" s="46" t="s">
        <v>82</v>
      </c>
      <c r="C27" s="47" t="s">
        <v>28</v>
      </c>
      <c r="D27" s="46">
        <v>15</v>
      </c>
      <c r="F27" s="48" t="s">
        <v>124</v>
      </c>
      <c r="H27" s="47" t="s">
        <v>100</v>
      </c>
      <c r="I27" s="24" t="s">
        <v>55</v>
      </c>
      <c r="J27" s="33">
        <v>9.5849999999999998E-3</v>
      </c>
      <c r="K27" s="13">
        <v>1.591</v>
      </c>
      <c r="L27" s="41"/>
      <c r="M27" s="13">
        <v>2.971E-2</v>
      </c>
      <c r="N27" s="13">
        <v>5.2</v>
      </c>
      <c r="O27" s="13">
        <v>3.8149999999999999</v>
      </c>
      <c r="P27" s="13">
        <v>0.19689999999999999</v>
      </c>
      <c r="Q27" s="13">
        <v>1.0579999999999999E-3</v>
      </c>
      <c r="R27" s="13">
        <v>3.492</v>
      </c>
      <c r="S27" s="13">
        <v>1.302</v>
      </c>
      <c r="T27" s="13">
        <v>4.5109999999999997E-2</v>
      </c>
      <c r="U27" s="13">
        <v>0.45200000000000001</v>
      </c>
      <c r="V27" s="13">
        <v>7.9979999999999999E-3</v>
      </c>
      <c r="W27" s="16">
        <v>2.4420000000000002</v>
      </c>
      <c r="X27" s="35">
        <v>6.123E-3</v>
      </c>
      <c r="Y27" s="13">
        <v>2.4929999999999999</v>
      </c>
      <c r="Z27" s="44"/>
      <c r="AA27" s="13">
        <v>6.5449999999999994E-2</v>
      </c>
      <c r="AB27" s="13">
        <v>10.26</v>
      </c>
      <c r="AC27" s="13">
        <v>4.93</v>
      </c>
      <c r="AD27" s="13">
        <v>0.28570000000000001</v>
      </c>
      <c r="AE27" s="13">
        <v>1.9380000000000001E-3</v>
      </c>
      <c r="AF27" s="13">
        <v>4.7240000000000002</v>
      </c>
      <c r="AG27" s="13">
        <v>2.2410000000000001</v>
      </c>
      <c r="AH27" s="13">
        <v>6.9860000000000005E-2</v>
      </c>
      <c r="AI27" s="13">
        <v>0.53180000000000005</v>
      </c>
      <c r="AJ27" s="13">
        <v>1.567E-2</v>
      </c>
      <c r="AK27" s="16">
        <v>2.2490000000000001</v>
      </c>
      <c r="AL27"/>
    </row>
    <row r="28" spans="1:46" ht="15.75" x14ac:dyDescent="0.25">
      <c r="A28" s="15" t="s">
        <v>24</v>
      </c>
      <c r="B28" s="46" t="s">
        <v>82</v>
      </c>
      <c r="C28" s="47" t="s">
        <v>28</v>
      </c>
      <c r="D28" s="46">
        <v>16</v>
      </c>
      <c r="F28" s="48" t="s">
        <v>88</v>
      </c>
      <c r="H28" s="47" t="s">
        <v>27</v>
      </c>
      <c r="I28" s="24" t="s">
        <v>56</v>
      </c>
      <c r="J28" s="33">
        <v>6.5139999999999998E-3</v>
      </c>
      <c r="K28" s="13">
        <v>1.585</v>
      </c>
      <c r="L28" s="41"/>
      <c r="M28" s="13">
        <v>2.1190000000000001E-2</v>
      </c>
      <c r="N28" s="13">
        <v>11.48</v>
      </c>
      <c r="O28" s="13">
        <v>4.0359999999999996</v>
      </c>
      <c r="P28" s="13">
        <v>0.35210000000000002</v>
      </c>
      <c r="Q28" s="13">
        <v>2.1800000000000001E-3</v>
      </c>
      <c r="R28" s="13">
        <v>2.2440000000000002</v>
      </c>
      <c r="S28" s="13">
        <v>3.968</v>
      </c>
      <c r="T28" s="13">
        <v>2.1590000000000002E-2</v>
      </c>
      <c r="U28" s="13">
        <v>0.45500000000000002</v>
      </c>
      <c r="V28" s="13">
        <v>1.0880000000000001E-2</v>
      </c>
      <c r="W28" s="16">
        <v>2.423</v>
      </c>
      <c r="X28" s="35">
        <v>5.5370000000000003E-3</v>
      </c>
      <c r="Y28" s="13">
        <v>2.173</v>
      </c>
      <c r="Z28" s="44"/>
      <c r="AA28" s="13">
        <v>1.976E-2</v>
      </c>
      <c r="AB28" s="13">
        <v>8.1280000000000001</v>
      </c>
      <c r="AC28" s="13">
        <v>4.859</v>
      </c>
      <c r="AD28" s="13">
        <v>0.31359999999999999</v>
      </c>
      <c r="AE28" s="13">
        <v>3.1480000000000002E-3</v>
      </c>
      <c r="AF28" s="13">
        <v>6.0250000000000004</v>
      </c>
      <c r="AG28" s="13">
        <v>1.9370000000000001</v>
      </c>
      <c r="AH28" s="13">
        <v>5.3600000000000002E-2</v>
      </c>
      <c r="AI28" s="13">
        <v>0.53990000000000005</v>
      </c>
      <c r="AJ28" s="13">
        <v>4.9760000000000004E-3</v>
      </c>
      <c r="AK28" s="16">
        <v>1.962</v>
      </c>
      <c r="AL28"/>
    </row>
    <row r="29" spans="1:46" ht="15.75" x14ac:dyDescent="0.25">
      <c r="A29" s="15" t="s">
        <v>24</v>
      </c>
      <c r="B29" s="46" t="s">
        <v>82</v>
      </c>
      <c r="C29" s="47" t="s">
        <v>28</v>
      </c>
      <c r="D29" s="46">
        <v>16</v>
      </c>
      <c r="F29" s="48" t="s">
        <v>90</v>
      </c>
      <c r="H29" s="47" t="s">
        <v>27</v>
      </c>
      <c r="I29" s="24" t="s">
        <v>57</v>
      </c>
      <c r="J29" s="33">
        <v>6.3959999999999998E-3</v>
      </c>
      <c r="K29" s="13">
        <v>1.2789999999999999</v>
      </c>
      <c r="L29" s="41"/>
      <c r="M29" s="13">
        <v>1.898E-2</v>
      </c>
      <c r="N29" s="13">
        <v>9.3829999999999991</v>
      </c>
      <c r="O29" s="13">
        <v>3.6589999999999998</v>
      </c>
      <c r="P29" s="13">
        <v>0.28549999999999998</v>
      </c>
      <c r="Q29" s="13">
        <v>1.768E-3</v>
      </c>
      <c r="R29" s="13">
        <v>1.163</v>
      </c>
      <c r="S29" s="13">
        <v>2.7869999999999999</v>
      </c>
      <c r="T29" s="13">
        <v>2.845E-2</v>
      </c>
      <c r="U29" s="13">
        <v>0.46610000000000001</v>
      </c>
      <c r="V29" s="13">
        <v>1.3860000000000001E-2</v>
      </c>
      <c r="W29" s="16">
        <v>2.2890000000000001</v>
      </c>
      <c r="X29" s="35">
        <v>6.2690000000000003E-3</v>
      </c>
      <c r="Y29" s="13">
        <v>2.3149999999999999</v>
      </c>
      <c r="Z29" s="44"/>
      <c r="AA29" s="13">
        <v>3.1949999999999999E-2</v>
      </c>
      <c r="AB29" s="13">
        <v>7.7960000000000003</v>
      </c>
      <c r="AC29" s="13">
        <v>4.5819999999999999</v>
      </c>
      <c r="AD29" s="13">
        <v>0.27300000000000002</v>
      </c>
      <c r="AE29" s="13">
        <v>2.7239999999999999E-3</v>
      </c>
      <c r="AF29" s="13">
        <v>5.1909999999999998</v>
      </c>
      <c r="AG29" s="13">
        <v>1.819</v>
      </c>
      <c r="AH29" s="13">
        <v>8.2180000000000003E-2</v>
      </c>
      <c r="AI29" s="13">
        <v>0.59050000000000002</v>
      </c>
      <c r="AJ29" s="13">
        <v>2.957E-3</v>
      </c>
      <c r="AK29" s="16">
        <v>2.3559999999999999</v>
      </c>
      <c r="AL29"/>
    </row>
    <row r="30" spans="1:46" ht="15.75" x14ac:dyDescent="0.25">
      <c r="A30" s="15" t="s">
        <v>24</v>
      </c>
      <c r="B30" s="46" t="s">
        <v>82</v>
      </c>
      <c r="C30" s="47" t="s">
        <v>28</v>
      </c>
      <c r="D30" s="46">
        <v>16</v>
      </c>
      <c r="F30" s="48" t="s">
        <v>89</v>
      </c>
      <c r="H30" s="47" t="s">
        <v>27</v>
      </c>
      <c r="I30" s="24" t="s">
        <v>58</v>
      </c>
      <c r="J30" s="33">
        <v>5.5570000000000003E-3</v>
      </c>
      <c r="K30" s="13">
        <v>2.1589999999999998</v>
      </c>
      <c r="L30" s="41"/>
      <c r="M30" s="13">
        <v>2.1520000000000001E-2</v>
      </c>
      <c r="N30" s="13">
        <v>11.74</v>
      </c>
      <c r="O30" s="13">
        <v>4.54</v>
      </c>
      <c r="P30" s="13">
        <v>0.373</v>
      </c>
      <c r="Q30" s="13">
        <v>1.7650000000000001E-3</v>
      </c>
      <c r="R30" s="13">
        <v>2.464</v>
      </c>
      <c r="S30" s="13">
        <v>3.976</v>
      </c>
      <c r="T30" s="13">
        <v>2.1610000000000001E-2</v>
      </c>
      <c r="U30" s="13">
        <v>0.4501</v>
      </c>
      <c r="V30" s="13">
        <v>5.7190000000000001E-3</v>
      </c>
      <c r="W30" s="16">
        <v>2.6360000000000001</v>
      </c>
      <c r="X30" s="35">
        <v>4.9309999999999996E-3</v>
      </c>
      <c r="Y30" s="13">
        <v>2.02</v>
      </c>
      <c r="Z30" s="44"/>
      <c r="AA30" s="13">
        <v>1.4670000000000001E-2</v>
      </c>
      <c r="AB30" s="13">
        <v>6.9320000000000004</v>
      </c>
      <c r="AC30" s="13">
        <v>4.3949999999999996</v>
      </c>
      <c r="AD30" s="13">
        <v>0.28370000000000001</v>
      </c>
      <c r="AE30" s="13">
        <v>1.879E-3</v>
      </c>
      <c r="AF30" s="13">
        <v>4.7939999999999996</v>
      </c>
      <c r="AG30" s="13">
        <v>1.627</v>
      </c>
      <c r="AH30" s="13">
        <v>6.5759999999999999E-2</v>
      </c>
      <c r="AI30" s="13">
        <v>0.46450000000000002</v>
      </c>
      <c r="AJ30" s="13">
        <v>6.914E-3</v>
      </c>
      <c r="AK30" s="16">
        <v>2.827</v>
      </c>
      <c r="AL30"/>
      <c r="AM30" s="25"/>
      <c r="AN30"/>
      <c r="AO30"/>
      <c r="AP30"/>
      <c r="AQ30"/>
      <c r="AR30"/>
      <c r="AS30"/>
      <c r="AT30"/>
    </row>
    <row r="31" spans="1:46" s="26" customFormat="1" ht="15.75" x14ac:dyDescent="0.25">
      <c r="A31" s="15" t="s">
        <v>24</v>
      </c>
      <c r="B31" s="46" t="s">
        <v>82</v>
      </c>
      <c r="C31" s="47" t="s">
        <v>25</v>
      </c>
      <c r="D31" s="46">
        <v>17</v>
      </c>
      <c r="E31" s="7"/>
      <c r="F31" s="48" t="s">
        <v>106</v>
      </c>
      <c r="G31" s="7"/>
      <c r="H31" s="47" t="s">
        <v>97</v>
      </c>
      <c r="I31" s="24" t="s">
        <v>59</v>
      </c>
      <c r="J31" s="33">
        <v>4.6319999999999998E-3</v>
      </c>
      <c r="K31" s="13">
        <v>2.0750000000000002</v>
      </c>
      <c r="L31" s="41"/>
      <c r="M31" s="13">
        <v>1.6879999999999999E-2</v>
      </c>
      <c r="N31" s="13">
        <v>9.9640000000000004</v>
      </c>
      <c r="O31" s="13">
        <v>3.7240000000000002</v>
      </c>
      <c r="P31" s="13">
        <v>0.28699999999999998</v>
      </c>
      <c r="Q31" s="13">
        <v>1.6930000000000001E-3</v>
      </c>
      <c r="R31" s="13">
        <v>2.2170000000000001</v>
      </c>
      <c r="S31" s="13">
        <v>3.109</v>
      </c>
      <c r="T31" s="13">
        <v>4.7969999999999999E-2</v>
      </c>
      <c r="U31" s="13">
        <v>0.51590000000000003</v>
      </c>
      <c r="V31" s="13">
        <v>1.0200000000000001E-2</v>
      </c>
      <c r="W31" s="13">
        <v>2.694</v>
      </c>
      <c r="X31" s="33">
        <v>1.072E-2</v>
      </c>
      <c r="Y31" s="13">
        <v>2.0979999999999999</v>
      </c>
      <c r="Z31" s="44"/>
      <c r="AA31" s="13">
        <v>1.235E-2</v>
      </c>
      <c r="AB31" s="13">
        <v>10.48</v>
      </c>
      <c r="AC31" s="13">
        <v>6.1210000000000004</v>
      </c>
      <c r="AD31" s="13">
        <v>0.37959999999999999</v>
      </c>
      <c r="AE31" s="13">
        <v>3.568E-3</v>
      </c>
      <c r="AF31" s="13">
        <v>5.9390000000000001</v>
      </c>
      <c r="AG31" s="13">
        <v>1.8959999999999999</v>
      </c>
      <c r="AH31" s="13">
        <v>6.2089999999999999E-2</v>
      </c>
      <c r="AI31" s="13">
        <v>0.62060000000000004</v>
      </c>
      <c r="AJ31" s="13">
        <v>4.0730000000000002E-3</v>
      </c>
      <c r="AK31" s="16">
        <v>2.9369999999999998</v>
      </c>
      <c r="AM31" s="25"/>
    </row>
    <row r="32" spans="1:46" s="26" customFormat="1" ht="15.75" x14ac:dyDescent="0.25">
      <c r="A32" s="15" t="s">
        <v>24</v>
      </c>
      <c r="B32" s="46" t="s">
        <v>82</v>
      </c>
      <c r="C32" s="47" t="s">
        <v>25</v>
      </c>
      <c r="D32" s="46">
        <v>17</v>
      </c>
      <c r="E32" s="7"/>
      <c r="F32" s="48" t="s">
        <v>103</v>
      </c>
      <c r="G32" s="7"/>
      <c r="H32" s="47" t="s">
        <v>97</v>
      </c>
      <c r="I32" s="24" t="s">
        <v>60</v>
      </c>
      <c r="J32" s="33">
        <v>3.2569999999999999E-3</v>
      </c>
      <c r="K32" s="13">
        <v>1.234</v>
      </c>
      <c r="L32" s="41"/>
      <c r="M32" s="13">
        <v>1.6279999999999999E-2</v>
      </c>
      <c r="N32" s="13">
        <v>10.27</v>
      </c>
      <c r="O32" s="13">
        <v>3.2989999999999999</v>
      </c>
      <c r="P32" s="13">
        <v>0.317</v>
      </c>
      <c r="Q32" s="13">
        <v>1.7129999999999999E-3</v>
      </c>
      <c r="R32" s="13">
        <v>1.694</v>
      </c>
      <c r="S32" s="13">
        <v>3.2759999999999998</v>
      </c>
      <c r="T32" s="13">
        <v>3.5009999999999999E-2</v>
      </c>
      <c r="U32" s="13">
        <v>0.3916</v>
      </c>
      <c r="V32" s="13">
        <v>6.8510000000000003E-3</v>
      </c>
      <c r="W32" s="13">
        <v>2.137</v>
      </c>
      <c r="X32" s="33">
        <v>6.6100000000000004E-3</v>
      </c>
      <c r="Y32" s="13">
        <v>1.625</v>
      </c>
      <c r="Z32" s="44"/>
      <c r="AA32" s="13">
        <v>5.722E-2</v>
      </c>
      <c r="AB32" s="13">
        <v>8.7390000000000008</v>
      </c>
      <c r="AC32" s="13">
        <v>5.532</v>
      </c>
      <c r="AD32" s="13">
        <v>0.3861</v>
      </c>
      <c r="AE32" s="13">
        <v>3.091E-3</v>
      </c>
      <c r="AF32" s="13">
        <v>5.452</v>
      </c>
      <c r="AG32" s="13">
        <v>2.129</v>
      </c>
      <c r="AH32" s="13">
        <v>6.4879999999999993E-2</v>
      </c>
      <c r="AI32" s="13">
        <v>0.41439999999999999</v>
      </c>
      <c r="AJ32" s="13">
        <v>4.5250000000000004E-3</v>
      </c>
      <c r="AK32" s="16">
        <v>2.2429999999999999</v>
      </c>
      <c r="AM32" s="25"/>
    </row>
    <row r="33" spans="1:39" s="26" customFormat="1" ht="15.75" x14ac:dyDescent="0.25">
      <c r="A33" s="15" t="s">
        <v>24</v>
      </c>
      <c r="B33" s="46" t="s">
        <v>82</v>
      </c>
      <c r="C33" s="47" t="s">
        <v>25</v>
      </c>
      <c r="D33" s="46">
        <v>17</v>
      </c>
      <c r="E33" s="7"/>
      <c r="F33" s="48" t="s">
        <v>105</v>
      </c>
      <c r="G33" s="7"/>
      <c r="H33" s="47" t="s">
        <v>97</v>
      </c>
      <c r="I33" s="24" t="s">
        <v>61</v>
      </c>
      <c r="J33" s="33">
        <v>5.2500000000000003E-3</v>
      </c>
      <c r="K33" s="13">
        <v>1.8180000000000001</v>
      </c>
      <c r="L33" s="41"/>
      <c r="M33" s="13">
        <v>2.359E-2</v>
      </c>
      <c r="N33" s="13">
        <v>11.77</v>
      </c>
      <c r="O33" s="13">
        <v>4.57</v>
      </c>
      <c r="P33" s="13">
        <v>0.37719999999999998</v>
      </c>
      <c r="Q33" s="13">
        <v>2.4659999999999999E-3</v>
      </c>
      <c r="R33" s="13">
        <v>2.3530000000000002</v>
      </c>
      <c r="S33" s="13">
        <v>4.1779999999999999</v>
      </c>
      <c r="T33" s="13">
        <v>5.1119999999999999E-2</v>
      </c>
      <c r="U33" s="13">
        <v>0.63060000000000005</v>
      </c>
      <c r="V33" s="13">
        <v>7.2859999999999999E-3</v>
      </c>
      <c r="W33" s="13">
        <v>3.1440000000000001</v>
      </c>
      <c r="X33" s="33">
        <v>1.4710000000000001E-2</v>
      </c>
      <c r="Y33" s="13">
        <v>1.5780000000000001</v>
      </c>
      <c r="Z33" s="44"/>
      <c r="AA33" s="13">
        <v>7.404E-3</v>
      </c>
      <c r="AB33" s="13">
        <v>9.3350000000000009</v>
      </c>
      <c r="AC33" s="13">
        <v>5.077</v>
      </c>
      <c r="AD33" s="13">
        <v>0.34449999999999997</v>
      </c>
      <c r="AE33" s="13">
        <v>3.2889999999999998E-3</v>
      </c>
      <c r="AF33" s="13">
        <v>4.5279999999999996</v>
      </c>
      <c r="AG33" s="13">
        <v>1.639</v>
      </c>
      <c r="AH33" s="13">
        <v>3.5229999999999997E-2</v>
      </c>
      <c r="AI33" s="13">
        <v>0.69989999999999997</v>
      </c>
      <c r="AJ33" s="13">
        <v>3.0460000000000001E-3</v>
      </c>
      <c r="AK33" s="16">
        <v>1.2749999999999999</v>
      </c>
      <c r="AM33" s="25"/>
    </row>
    <row r="34" spans="1:39" s="26" customFormat="1" ht="15.75" x14ac:dyDescent="0.25">
      <c r="A34" s="15" t="s">
        <v>24</v>
      </c>
      <c r="B34" s="46" t="s">
        <v>82</v>
      </c>
      <c r="C34" s="47" t="s">
        <v>25</v>
      </c>
      <c r="D34" s="46">
        <v>17</v>
      </c>
      <c r="E34" s="7"/>
      <c r="F34" s="48" t="s">
        <v>104</v>
      </c>
      <c r="G34" s="7"/>
      <c r="H34" s="47" t="s">
        <v>97</v>
      </c>
      <c r="I34" s="24" t="s">
        <v>62</v>
      </c>
      <c r="J34" s="33">
        <v>5.378E-3</v>
      </c>
      <c r="K34" s="13">
        <v>1.0309999999999999</v>
      </c>
      <c r="L34" s="41"/>
      <c r="M34" s="13">
        <v>1.9890000000000001E-2</v>
      </c>
      <c r="N34" s="13">
        <v>11.66</v>
      </c>
      <c r="O34" s="13">
        <v>4.0419999999999998</v>
      </c>
      <c r="P34" s="13">
        <v>0.3327</v>
      </c>
      <c r="Q34" s="13">
        <v>1.7489999999999999E-3</v>
      </c>
      <c r="R34" s="13">
        <v>2.012</v>
      </c>
      <c r="S34" s="13">
        <v>3.8460000000000001</v>
      </c>
      <c r="T34" s="13">
        <v>2.5409999999999999E-2</v>
      </c>
      <c r="U34" s="13">
        <v>0.49209999999999998</v>
      </c>
      <c r="V34" s="13">
        <v>9.8600000000000007E-3</v>
      </c>
      <c r="W34" s="13">
        <v>2.4929999999999999</v>
      </c>
      <c r="X34" s="33">
        <v>1.226E-2</v>
      </c>
      <c r="Y34" s="13">
        <v>2.0990000000000002</v>
      </c>
      <c r="Z34" s="44"/>
      <c r="AA34" s="13">
        <v>1.094E-2</v>
      </c>
      <c r="AB34" s="13">
        <v>9.6359999999999992</v>
      </c>
      <c r="AC34" s="13">
        <v>5.4829999999999997</v>
      </c>
      <c r="AD34" s="13">
        <v>0.34549999999999997</v>
      </c>
      <c r="AE34" s="13">
        <v>3.2030000000000001E-3</v>
      </c>
      <c r="AF34" s="13">
        <v>5.2080000000000002</v>
      </c>
      <c r="AG34" s="13">
        <v>1.8180000000000001</v>
      </c>
      <c r="AH34" s="13">
        <v>4.6809999999999997E-2</v>
      </c>
      <c r="AI34" s="13">
        <v>0.71140000000000003</v>
      </c>
      <c r="AJ34" s="13">
        <v>2.2829999999999999E-3</v>
      </c>
      <c r="AK34" s="16">
        <v>2.2000000000000002</v>
      </c>
      <c r="AM34" s="25"/>
    </row>
    <row r="35" spans="1:39" s="26" customFormat="1" ht="15.75" x14ac:dyDescent="0.25">
      <c r="A35" s="15" t="s">
        <v>24</v>
      </c>
      <c r="B35" s="46" t="s">
        <v>82</v>
      </c>
      <c r="C35" s="47" t="s">
        <v>25</v>
      </c>
      <c r="D35" s="46">
        <v>18</v>
      </c>
      <c r="E35" s="7"/>
      <c r="F35" s="48" t="s">
        <v>95</v>
      </c>
      <c r="G35" s="7"/>
      <c r="H35" s="47" t="s">
        <v>27</v>
      </c>
      <c r="I35" s="24" t="s">
        <v>63</v>
      </c>
      <c r="J35" s="33">
        <v>6.5420000000000001E-3</v>
      </c>
      <c r="K35" s="13">
        <v>2.77</v>
      </c>
      <c r="L35" s="41"/>
      <c r="M35" s="13">
        <v>4.052E-2</v>
      </c>
      <c r="N35" s="13">
        <v>21.63</v>
      </c>
      <c r="O35" s="13">
        <v>7.1970000000000001</v>
      </c>
      <c r="P35" s="13">
        <v>0.52890000000000004</v>
      </c>
      <c r="Q35" s="13">
        <v>2.3579999999999999E-3</v>
      </c>
      <c r="R35" s="13">
        <v>2.4900000000000002</v>
      </c>
      <c r="S35" s="13">
        <v>6.5670000000000002</v>
      </c>
      <c r="T35" s="13">
        <v>9.0770000000000003E-2</v>
      </c>
      <c r="U35" s="13">
        <v>0.90239999999999998</v>
      </c>
      <c r="V35" s="13">
        <v>1.2670000000000001E-2</v>
      </c>
      <c r="W35" s="13">
        <v>4.8559999999999999</v>
      </c>
      <c r="X35" s="33">
        <v>7.5259999999999997E-3</v>
      </c>
      <c r="Y35" s="13">
        <v>1.849</v>
      </c>
      <c r="Z35" s="44"/>
      <c r="AA35" s="13">
        <v>2.878E-2</v>
      </c>
      <c r="AB35" s="13">
        <v>7.3529999999999998</v>
      </c>
      <c r="AC35" s="13">
        <v>5.07</v>
      </c>
      <c r="AD35" s="13">
        <v>0.316</v>
      </c>
      <c r="AE35" s="13">
        <v>1.8890000000000001E-3</v>
      </c>
      <c r="AF35" s="13">
        <v>5.2779999999999996</v>
      </c>
      <c r="AG35" s="13">
        <v>1.5349999999999999</v>
      </c>
      <c r="AH35" s="13">
        <v>9.9769999999999998E-2</v>
      </c>
      <c r="AI35" s="13">
        <v>0.69730000000000003</v>
      </c>
      <c r="AJ35" s="13">
        <v>3.1879999999999999E-3</v>
      </c>
      <c r="AK35" s="16">
        <v>2.9140000000000001</v>
      </c>
      <c r="AM35" s="25"/>
    </row>
    <row r="36" spans="1:39" s="26" customFormat="1" ht="15.75" x14ac:dyDescent="0.25">
      <c r="A36" s="15" t="s">
        <v>24</v>
      </c>
      <c r="B36" s="46" t="s">
        <v>82</v>
      </c>
      <c r="C36" s="47" t="s">
        <v>25</v>
      </c>
      <c r="D36" s="46">
        <v>18</v>
      </c>
      <c r="E36" s="7"/>
      <c r="F36" s="48" t="s">
        <v>93</v>
      </c>
      <c r="G36" s="7"/>
      <c r="H36" s="47" t="s">
        <v>27</v>
      </c>
      <c r="I36" s="24" t="s">
        <v>64</v>
      </c>
      <c r="J36" s="33">
        <v>3.6059999999999998E-3</v>
      </c>
      <c r="K36" s="13">
        <v>1.2370000000000001</v>
      </c>
      <c r="L36" s="41"/>
      <c r="M36" s="13">
        <v>1.5310000000000001E-2</v>
      </c>
      <c r="N36" s="13">
        <v>11.17</v>
      </c>
      <c r="O36" s="13">
        <v>3.7090000000000001</v>
      </c>
      <c r="P36" s="13">
        <v>0.34150000000000003</v>
      </c>
      <c r="Q36" s="13">
        <v>1.586E-3</v>
      </c>
      <c r="R36" s="13">
        <v>0.85619999999999996</v>
      </c>
      <c r="S36" s="13">
        <v>3.9849999999999999</v>
      </c>
      <c r="T36" s="13">
        <v>3.0620000000000001E-2</v>
      </c>
      <c r="U36" s="13">
        <v>0.42359999999999998</v>
      </c>
      <c r="V36" s="13">
        <v>1.653E-2</v>
      </c>
      <c r="W36" s="13">
        <v>2.121</v>
      </c>
      <c r="X36" s="33">
        <v>4.4460000000000003E-3</v>
      </c>
      <c r="Y36" s="13">
        <v>2.7080000000000002</v>
      </c>
      <c r="Z36" s="44"/>
      <c r="AA36" s="13">
        <v>3.7179999999999998E-2</v>
      </c>
      <c r="AB36" s="13">
        <v>8.391</v>
      </c>
      <c r="AC36" s="13">
        <v>5.282</v>
      </c>
      <c r="AD36" s="13">
        <v>0.36349999999999999</v>
      </c>
      <c r="AE36" s="13">
        <v>2.2130000000000001E-3</v>
      </c>
      <c r="AF36" s="13">
        <v>5.4630000000000001</v>
      </c>
      <c r="AG36" s="13">
        <v>2.032</v>
      </c>
      <c r="AH36" s="13">
        <v>0.1094</v>
      </c>
      <c r="AI36" s="13">
        <v>0.52229999999999999</v>
      </c>
      <c r="AJ36" s="13">
        <v>2.3749999999999999E-3</v>
      </c>
      <c r="AK36" s="16">
        <v>2.2090000000000001</v>
      </c>
      <c r="AM36" s="25"/>
    </row>
    <row r="37" spans="1:39" s="26" customFormat="1" ht="15.75" x14ac:dyDescent="0.25">
      <c r="A37" s="15" t="s">
        <v>24</v>
      </c>
      <c r="B37" s="46" t="s">
        <v>82</v>
      </c>
      <c r="C37" s="47" t="s">
        <v>25</v>
      </c>
      <c r="D37" s="46">
        <v>18</v>
      </c>
      <c r="E37" s="7"/>
      <c r="F37" s="48" t="s">
        <v>94</v>
      </c>
      <c r="G37" s="7"/>
      <c r="H37" s="47" t="s">
        <v>27</v>
      </c>
      <c r="I37" s="24" t="s">
        <v>65</v>
      </c>
      <c r="J37" s="33">
        <v>4.2989999999999999E-3</v>
      </c>
      <c r="K37" s="13">
        <v>2.42</v>
      </c>
      <c r="L37" s="41"/>
      <c r="M37" s="13">
        <v>2.1659999999999999E-2</v>
      </c>
      <c r="N37" s="13">
        <v>14.38</v>
      </c>
      <c r="O37" s="13">
        <v>5.1639999999999997</v>
      </c>
      <c r="P37" s="13">
        <v>0.44109999999999999</v>
      </c>
      <c r="Q37" s="13">
        <v>1.805E-3</v>
      </c>
      <c r="R37" s="13">
        <v>2.1920000000000002</v>
      </c>
      <c r="S37" s="13">
        <v>5.0949999999999998</v>
      </c>
      <c r="T37" s="13">
        <v>5.2549999999999999E-2</v>
      </c>
      <c r="U37" s="13">
        <v>0.53359999999999996</v>
      </c>
      <c r="V37" s="13">
        <v>8.2730000000000008E-3</v>
      </c>
      <c r="W37" s="13">
        <v>3.4319999999999999</v>
      </c>
      <c r="X37" s="33">
        <v>5.5710000000000004E-3</v>
      </c>
      <c r="Y37" s="13">
        <v>2.101</v>
      </c>
      <c r="Z37" s="44"/>
      <c r="AA37" s="13">
        <v>1.4460000000000001E-2</v>
      </c>
      <c r="AB37" s="13">
        <v>8.8629999999999995</v>
      </c>
      <c r="AC37" s="13">
        <v>6.2149999999999999</v>
      </c>
      <c r="AD37" s="13">
        <v>0.25840000000000002</v>
      </c>
      <c r="AE37" s="13">
        <v>1.8500000000000001E-3</v>
      </c>
      <c r="AF37" s="13">
        <v>5.0910000000000002</v>
      </c>
      <c r="AG37" s="13">
        <v>1.758</v>
      </c>
      <c r="AH37" s="13">
        <v>7.7600000000000002E-2</v>
      </c>
      <c r="AI37" s="13">
        <v>0.5383</v>
      </c>
      <c r="AJ37" s="13">
        <v>7.6229999999999996E-3</v>
      </c>
      <c r="AK37" s="16">
        <v>2.9260000000000002</v>
      </c>
      <c r="AM37" s="25"/>
    </row>
    <row r="38" spans="1:39" s="26" customFormat="1" ht="15.75" x14ac:dyDescent="0.25">
      <c r="A38" s="15" t="s">
        <v>24</v>
      </c>
      <c r="B38" s="46" t="s">
        <v>82</v>
      </c>
      <c r="C38" s="47" t="s">
        <v>25</v>
      </c>
      <c r="D38" s="46">
        <v>18</v>
      </c>
      <c r="E38" s="7"/>
      <c r="F38" s="48" t="s">
        <v>96</v>
      </c>
      <c r="G38" s="7"/>
      <c r="H38" s="47" t="s">
        <v>27</v>
      </c>
      <c r="I38" s="24" t="s">
        <v>66</v>
      </c>
      <c r="J38" s="33">
        <v>4.3350000000000003E-3</v>
      </c>
      <c r="K38" s="13">
        <v>2.2450000000000001</v>
      </c>
      <c r="L38" s="41"/>
      <c r="M38" s="13">
        <v>2.2499999999999999E-2</v>
      </c>
      <c r="N38" s="13">
        <v>12.62</v>
      </c>
      <c r="O38" s="13">
        <v>4.8890000000000002</v>
      </c>
      <c r="P38" s="13">
        <v>0.34470000000000001</v>
      </c>
      <c r="Q38" s="13">
        <v>1.498E-3</v>
      </c>
      <c r="R38" s="13">
        <v>2.556</v>
      </c>
      <c r="S38" s="13">
        <v>4.758</v>
      </c>
      <c r="T38" s="13">
        <v>6.1210000000000001E-2</v>
      </c>
      <c r="U38" s="13">
        <v>0.55700000000000005</v>
      </c>
      <c r="V38" s="13">
        <v>6.1729999999999997E-3</v>
      </c>
      <c r="W38" s="13">
        <v>3.101</v>
      </c>
      <c r="X38" s="33">
        <v>9.8449999999999996E-3</v>
      </c>
      <c r="Y38" s="13">
        <v>2.1320000000000001</v>
      </c>
      <c r="Z38" s="44"/>
      <c r="AA38" s="13">
        <v>2.0760000000000001E-2</v>
      </c>
      <c r="AB38" s="13">
        <v>8.6509999999999998</v>
      </c>
      <c r="AC38" s="13">
        <v>5.3330000000000002</v>
      </c>
      <c r="AD38" s="13">
        <v>0.31490000000000001</v>
      </c>
      <c r="AE38" s="13">
        <v>1.8159999999999999E-3</v>
      </c>
      <c r="AF38" s="13">
        <v>4.8810000000000002</v>
      </c>
      <c r="AG38" s="13">
        <v>1.8240000000000001</v>
      </c>
      <c r="AH38" s="13">
        <v>0.1043</v>
      </c>
      <c r="AI38" s="13">
        <v>0.67659999999999998</v>
      </c>
      <c r="AJ38" s="13">
        <v>1.9750000000000002E-3</v>
      </c>
      <c r="AK38" s="16">
        <v>1.194</v>
      </c>
      <c r="AM38" s="25"/>
    </row>
    <row r="39" spans="1:39" s="26" customFormat="1" ht="15.75" x14ac:dyDescent="0.25">
      <c r="A39" s="15" t="s">
        <v>24</v>
      </c>
      <c r="B39" s="46" t="s">
        <v>82</v>
      </c>
      <c r="C39" s="47" t="s">
        <v>25</v>
      </c>
      <c r="D39" s="46">
        <v>19</v>
      </c>
      <c r="F39" s="48" t="s">
        <v>114</v>
      </c>
      <c r="H39" s="47" t="s">
        <v>100</v>
      </c>
      <c r="I39" s="24" t="s">
        <v>67</v>
      </c>
      <c r="J39" s="33">
        <v>7.136E-3</v>
      </c>
      <c r="K39" s="13">
        <v>1.5760000000000001</v>
      </c>
      <c r="L39" s="41"/>
      <c r="M39" s="13">
        <v>3.7920000000000002E-2</v>
      </c>
      <c r="N39" s="13">
        <v>8.2789999999999999</v>
      </c>
      <c r="O39" s="13">
        <v>4.774</v>
      </c>
      <c r="P39" s="13">
        <v>0.28960000000000002</v>
      </c>
      <c r="Q39" s="13">
        <v>1.3060000000000001E-3</v>
      </c>
      <c r="R39" s="13">
        <v>3.6419999999999999</v>
      </c>
      <c r="S39" s="13">
        <v>2.419</v>
      </c>
      <c r="T39" s="13">
        <v>7.331E-2</v>
      </c>
      <c r="U39" s="13">
        <v>0.4476</v>
      </c>
      <c r="V39" s="13">
        <v>3.5349999999999999E-3</v>
      </c>
      <c r="W39" s="13">
        <v>2.3050000000000002</v>
      </c>
      <c r="X39" s="33">
        <v>4.777E-3</v>
      </c>
      <c r="Y39" s="13">
        <v>1.865</v>
      </c>
      <c r="Z39" s="44"/>
      <c r="AA39" s="13">
        <v>0.12959999999999999</v>
      </c>
      <c r="AB39" s="13">
        <v>9.0809999999999995</v>
      </c>
      <c r="AC39" s="13">
        <v>5.6609999999999996</v>
      </c>
      <c r="AD39" s="13">
        <v>0.3145</v>
      </c>
      <c r="AE39" s="13">
        <v>1.6050000000000001E-3</v>
      </c>
      <c r="AF39" s="13">
        <v>5.6230000000000002</v>
      </c>
      <c r="AG39" s="13">
        <v>1.857</v>
      </c>
      <c r="AH39" s="13">
        <v>5.484E-2</v>
      </c>
      <c r="AI39" s="13">
        <v>0.41860000000000003</v>
      </c>
      <c r="AJ39" s="13">
        <v>3.7269999999999998E-3</v>
      </c>
      <c r="AK39" s="16">
        <v>2.3759999999999999</v>
      </c>
      <c r="AM39" s="25"/>
    </row>
    <row r="40" spans="1:39" s="26" customFormat="1" ht="15.75" x14ac:dyDescent="0.25">
      <c r="A40" s="15" t="s">
        <v>24</v>
      </c>
      <c r="B40" s="46" t="s">
        <v>82</v>
      </c>
      <c r="C40" s="47" t="s">
        <v>25</v>
      </c>
      <c r="D40" s="46">
        <v>19</v>
      </c>
      <c r="E40" s="7"/>
      <c r="F40" s="48" t="s">
        <v>119</v>
      </c>
      <c r="G40" s="7"/>
      <c r="H40" s="47" t="s">
        <v>100</v>
      </c>
      <c r="I40" s="24" t="s">
        <v>68</v>
      </c>
      <c r="J40" s="33">
        <v>5.5409999999999999E-3</v>
      </c>
      <c r="K40" s="13">
        <v>3.153</v>
      </c>
      <c r="L40" s="41"/>
      <c r="M40" s="13">
        <v>3.107E-2</v>
      </c>
      <c r="N40" s="13">
        <v>8.0429999999999993</v>
      </c>
      <c r="O40" s="13">
        <v>4.6909999999999998</v>
      </c>
      <c r="P40" s="13">
        <v>0.32529999999999998</v>
      </c>
      <c r="Q40" s="13">
        <v>1.0870000000000001E-3</v>
      </c>
      <c r="R40" s="13">
        <v>3.7490000000000001</v>
      </c>
      <c r="S40" s="13">
        <v>3.15</v>
      </c>
      <c r="T40" s="13">
        <v>7.3620000000000005E-2</v>
      </c>
      <c r="U40" s="13">
        <v>0.47039999999999998</v>
      </c>
      <c r="V40" s="13">
        <v>8.9669999999999993E-3</v>
      </c>
      <c r="W40" s="13">
        <v>2.9140000000000001</v>
      </c>
      <c r="X40" s="33">
        <v>4.0720000000000001E-3</v>
      </c>
      <c r="Y40" s="13">
        <v>2.0720000000000001</v>
      </c>
      <c r="Z40" s="44"/>
      <c r="AA40" s="13">
        <v>0.2429</v>
      </c>
      <c r="AB40" s="13">
        <v>7.5359999999999996</v>
      </c>
      <c r="AC40" s="13">
        <v>4.6459999999999999</v>
      </c>
      <c r="AD40" s="13">
        <v>0.2898</v>
      </c>
      <c r="AE40" s="13">
        <v>1.1999999999999999E-3</v>
      </c>
      <c r="AF40" s="13">
        <v>4.5549999999999997</v>
      </c>
      <c r="AG40" s="13">
        <v>1.901</v>
      </c>
      <c r="AH40" s="13">
        <v>4.7019999999999999E-2</v>
      </c>
      <c r="AI40" s="13">
        <v>0.3236</v>
      </c>
      <c r="AJ40" s="13">
        <v>1.0789999999999999E-2</v>
      </c>
      <c r="AK40" s="16">
        <v>2.6179999999999999</v>
      </c>
      <c r="AM40" s="25"/>
    </row>
    <row r="41" spans="1:39" ht="15.75" x14ac:dyDescent="0.25">
      <c r="A41" s="15" t="s">
        <v>24</v>
      </c>
      <c r="B41" s="46" t="s">
        <v>82</v>
      </c>
      <c r="C41" s="47" t="s">
        <v>25</v>
      </c>
      <c r="D41" s="46">
        <v>19</v>
      </c>
      <c r="E41" s="26"/>
      <c r="F41" s="48" t="s">
        <v>113</v>
      </c>
      <c r="G41" s="26"/>
      <c r="H41" s="47" t="s">
        <v>100</v>
      </c>
      <c r="I41" s="24" t="s">
        <v>69</v>
      </c>
      <c r="J41" s="33">
        <v>8.5030000000000001E-3</v>
      </c>
      <c r="K41" s="13">
        <v>1.921</v>
      </c>
      <c r="L41" s="41"/>
      <c r="M41" s="13">
        <v>1.8020000000000001E-2</v>
      </c>
      <c r="N41" s="13">
        <v>8.33</v>
      </c>
      <c r="O41" s="13">
        <v>4.5430000000000001</v>
      </c>
      <c r="P41" s="13">
        <v>0.29330000000000001</v>
      </c>
      <c r="Q41" s="13">
        <v>1.5200000000000001E-3</v>
      </c>
      <c r="R41" s="13">
        <v>2.27</v>
      </c>
      <c r="S41" s="13">
        <v>2.92</v>
      </c>
      <c r="T41" s="13">
        <v>2.5360000000000001E-2</v>
      </c>
      <c r="U41" s="13">
        <v>0.46050000000000002</v>
      </c>
      <c r="V41" s="13">
        <v>7.626E-3</v>
      </c>
      <c r="W41" s="13">
        <v>2.0539999999999998</v>
      </c>
      <c r="X41" s="33">
        <v>8.3210000000000003E-3</v>
      </c>
      <c r="Y41" s="13">
        <v>2.4969999999999999</v>
      </c>
      <c r="Z41" s="44"/>
      <c r="AA41" s="13">
        <v>1.155E-2</v>
      </c>
      <c r="AB41" s="13">
        <v>10.6</v>
      </c>
      <c r="AC41" s="13">
        <v>5.3689999999999998</v>
      </c>
      <c r="AD41" s="13">
        <v>0.3387</v>
      </c>
      <c r="AE41" s="13">
        <v>1.866E-3</v>
      </c>
      <c r="AF41" s="13">
        <v>4.8650000000000002</v>
      </c>
      <c r="AG41" s="13">
        <v>2.2440000000000002</v>
      </c>
      <c r="AH41" s="13">
        <v>3.805E-2</v>
      </c>
      <c r="AI41" s="13">
        <v>0.5766</v>
      </c>
      <c r="AJ41" s="13">
        <v>3.7830000000000003E-2</v>
      </c>
      <c r="AK41" s="16">
        <v>1.208</v>
      </c>
      <c r="AM41"/>
    </row>
    <row r="42" spans="1:39" ht="15.75" x14ac:dyDescent="0.25">
      <c r="A42" s="15" t="s">
        <v>24</v>
      </c>
      <c r="B42" s="46" t="s">
        <v>82</v>
      </c>
      <c r="C42" s="47" t="s">
        <v>25</v>
      </c>
      <c r="D42" s="46">
        <v>19</v>
      </c>
      <c r="E42" s="26"/>
      <c r="F42" s="48" t="s">
        <v>118</v>
      </c>
      <c r="H42" s="47" t="s">
        <v>100</v>
      </c>
      <c r="I42" s="24" t="s">
        <v>70</v>
      </c>
      <c r="J42" s="33">
        <v>4.1450000000000002E-3</v>
      </c>
      <c r="K42" s="13">
        <v>2.6579999999999999</v>
      </c>
      <c r="L42" s="41"/>
      <c r="M42" s="13">
        <v>1.4619999999999999E-2</v>
      </c>
      <c r="N42" s="13">
        <v>6.383</v>
      </c>
      <c r="O42" s="13">
        <v>3.5249999999999999</v>
      </c>
      <c r="P42" s="13">
        <v>0.26429999999999998</v>
      </c>
      <c r="Q42" s="13">
        <v>1.073E-3</v>
      </c>
      <c r="R42" s="13">
        <v>1.998</v>
      </c>
      <c r="S42" s="13">
        <v>2.6389999999999998</v>
      </c>
      <c r="T42" s="13">
        <v>3.2840000000000001E-2</v>
      </c>
      <c r="U42" s="13">
        <v>0.34210000000000002</v>
      </c>
      <c r="V42" s="13">
        <v>6.9610000000000002E-3</v>
      </c>
      <c r="W42" s="13">
        <v>2.2629999999999999</v>
      </c>
      <c r="X42" s="33">
        <v>3.8175000000000004E-4</v>
      </c>
      <c r="Y42" s="13">
        <v>4.8480000000000008</v>
      </c>
      <c r="Z42" s="44"/>
      <c r="AA42" s="13">
        <v>4.1024999999999999E-2</v>
      </c>
      <c r="AB42" s="13">
        <v>16.934999999999999</v>
      </c>
      <c r="AC42" s="13">
        <v>12.526500000000002</v>
      </c>
      <c r="AD42" s="13">
        <v>0.85349999999999993</v>
      </c>
      <c r="AE42" s="13">
        <v>3.3645000000000003E-3</v>
      </c>
      <c r="AF42" s="13">
        <v>12.490500000000001</v>
      </c>
      <c r="AG42" s="13">
        <v>3.4275000000000002</v>
      </c>
      <c r="AH42" s="13">
        <v>0.159</v>
      </c>
      <c r="AI42" s="13">
        <v>1.0524</v>
      </c>
      <c r="AJ42" s="13">
        <v>2.1510000000000001E-3</v>
      </c>
      <c r="AK42" s="16">
        <v>1.581</v>
      </c>
      <c r="AM42"/>
    </row>
    <row r="43" spans="1:39" ht="15.75" x14ac:dyDescent="0.25">
      <c r="A43" s="15" t="s">
        <v>24</v>
      </c>
      <c r="B43" s="46" t="s">
        <v>82</v>
      </c>
      <c r="C43" s="47" t="s">
        <v>25</v>
      </c>
      <c r="D43" s="46">
        <v>19</v>
      </c>
      <c r="E43" s="26"/>
      <c r="F43" s="48" t="s">
        <v>115</v>
      </c>
      <c r="G43" s="26"/>
      <c r="H43" s="47" t="s">
        <v>100</v>
      </c>
      <c r="I43" s="24" t="s">
        <v>71</v>
      </c>
      <c r="J43" s="33">
        <v>1.1169999999999999E-2</v>
      </c>
      <c r="K43" s="13">
        <v>2.5299999999999998</v>
      </c>
      <c r="L43" s="41"/>
      <c r="M43" s="13">
        <v>3.6819999999999999E-2</v>
      </c>
      <c r="N43" s="13">
        <v>8.0359999999999996</v>
      </c>
      <c r="O43" s="13">
        <v>4.5940000000000003</v>
      </c>
      <c r="P43" s="13">
        <v>0.7349</v>
      </c>
      <c r="Q43" s="13">
        <v>2.4489999999999998E-3</v>
      </c>
      <c r="R43" s="13">
        <v>2.7280000000000002</v>
      </c>
      <c r="S43" s="13">
        <v>2.1850000000000001</v>
      </c>
      <c r="T43" s="13">
        <v>5.6930000000000001E-2</v>
      </c>
      <c r="U43" s="13">
        <v>0.92889999999999995</v>
      </c>
      <c r="V43" s="13">
        <v>7.9810000000000002E-3</v>
      </c>
      <c r="W43" s="13">
        <v>1.698</v>
      </c>
      <c r="X43" s="33">
        <v>1.1679999999999999E-2</v>
      </c>
      <c r="Y43" s="13">
        <v>1.806</v>
      </c>
      <c r="Z43" s="44"/>
      <c r="AA43" s="13">
        <v>2.5389999999999999E-2</v>
      </c>
      <c r="AB43" s="13">
        <v>10.14</v>
      </c>
      <c r="AC43" s="13">
        <v>6.0880000000000001</v>
      </c>
      <c r="AD43" s="13">
        <v>0.80110000000000003</v>
      </c>
      <c r="AE43" s="13">
        <v>2.9989999999999999E-3</v>
      </c>
      <c r="AF43" s="13">
        <v>5.8970000000000002</v>
      </c>
      <c r="AG43" s="13">
        <v>1.956</v>
      </c>
      <c r="AH43" s="13">
        <v>2.3189999999999999E-2</v>
      </c>
      <c r="AI43" s="13">
        <v>1.05</v>
      </c>
      <c r="AJ43" s="13">
        <v>3.1099999999999999E-3</v>
      </c>
      <c r="AK43" s="16">
        <v>1.4370000000000001</v>
      </c>
      <c r="AM43"/>
    </row>
    <row r="44" spans="1:39" ht="15.75" x14ac:dyDescent="0.25">
      <c r="A44" s="15" t="s">
        <v>24</v>
      </c>
      <c r="B44" s="46" t="s">
        <v>82</v>
      </c>
      <c r="C44" s="47" t="s">
        <v>28</v>
      </c>
      <c r="D44" s="46">
        <v>20</v>
      </c>
      <c r="F44" s="48" t="s">
        <v>99</v>
      </c>
      <c r="H44" s="47" t="s">
        <v>97</v>
      </c>
      <c r="I44" s="24" t="s">
        <v>72</v>
      </c>
      <c r="J44" s="33">
        <v>3.6329999999999999E-3</v>
      </c>
      <c r="K44" s="13">
        <v>2.72</v>
      </c>
      <c r="L44" s="41"/>
      <c r="M44" s="13">
        <v>3.1099999999999999E-2</v>
      </c>
      <c r="N44" s="13">
        <v>6.9660000000000002</v>
      </c>
      <c r="O44" s="13">
        <v>3.7970000000000002</v>
      </c>
      <c r="P44" s="13">
        <v>0.25679999999999997</v>
      </c>
      <c r="Q44" s="13">
        <v>1.4430000000000001E-3</v>
      </c>
      <c r="R44" s="13">
        <v>3.5379999999999998</v>
      </c>
      <c r="S44" s="13">
        <v>0.95720000000000005</v>
      </c>
      <c r="T44" s="13">
        <v>4.3729999999999998E-2</v>
      </c>
      <c r="U44" s="13">
        <v>0.46229999999999999</v>
      </c>
      <c r="V44" s="13">
        <v>2.5490000000000001E-3</v>
      </c>
      <c r="W44" s="13">
        <v>2.2469999999999999</v>
      </c>
      <c r="X44" s="33">
        <v>1.2109999999999999E-2</v>
      </c>
      <c r="Y44" s="13">
        <v>1.4379999999999999</v>
      </c>
      <c r="Z44" s="44"/>
      <c r="AA44" s="13">
        <v>1.1679999999999999E-2</v>
      </c>
      <c r="AB44" s="13">
        <v>8.44</v>
      </c>
      <c r="AC44" s="13">
        <v>4.5890000000000004</v>
      </c>
      <c r="AD44" s="13">
        <v>0.2944</v>
      </c>
      <c r="AE44" s="13">
        <v>3.0730000000000002E-3</v>
      </c>
      <c r="AF44" s="13">
        <v>4.5190000000000001</v>
      </c>
      <c r="AG44" s="13">
        <v>1.6060000000000001</v>
      </c>
      <c r="AH44" s="13">
        <v>6.0909999999999999E-2</v>
      </c>
      <c r="AI44" s="13">
        <v>0.63670000000000004</v>
      </c>
      <c r="AJ44" s="13">
        <v>3.679E-3</v>
      </c>
      <c r="AK44" s="16">
        <v>2.2410000000000001</v>
      </c>
      <c r="AM44"/>
    </row>
    <row r="45" spans="1:39" ht="15.75" x14ac:dyDescent="0.25">
      <c r="A45" s="15" t="s">
        <v>24</v>
      </c>
      <c r="B45" s="46" t="s">
        <v>82</v>
      </c>
      <c r="C45" s="47" t="s">
        <v>28</v>
      </c>
      <c r="D45" s="46">
        <v>20</v>
      </c>
      <c r="F45" s="48" t="s">
        <v>98</v>
      </c>
      <c r="H45" s="47" t="s">
        <v>97</v>
      </c>
      <c r="I45" s="24" t="s">
        <v>73</v>
      </c>
      <c r="J45" s="33">
        <v>4.2050000000000004E-3</v>
      </c>
      <c r="K45" s="13">
        <v>1.43</v>
      </c>
      <c r="L45" s="41"/>
      <c r="M45" s="13">
        <v>1.193E-2</v>
      </c>
      <c r="N45" s="13">
        <v>7.1020000000000003</v>
      </c>
      <c r="O45" s="13">
        <v>3.206</v>
      </c>
      <c r="P45" s="13">
        <v>0.22270000000000001</v>
      </c>
      <c r="Q45" s="13">
        <v>1.578E-3</v>
      </c>
      <c r="R45" s="13">
        <v>1.554</v>
      </c>
      <c r="S45" s="13">
        <v>2.0720000000000001</v>
      </c>
      <c r="T45" s="13">
        <v>1.7819999999999999E-2</v>
      </c>
      <c r="U45" s="13">
        <v>0.37219999999999998</v>
      </c>
      <c r="V45" s="13">
        <v>5.1630000000000001E-3</v>
      </c>
      <c r="W45" s="13">
        <v>1.9119999999999999</v>
      </c>
      <c r="X45" s="33">
        <v>7.4669999999999997E-3</v>
      </c>
      <c r="Y45" s="13">
        <v>1.7270000000000001</v>
      </c>
      <c r="Z45" s="44"/>
      <c r="AA45" s="13">
        <v>2.1190000000000001E-2</v>
      </c>
      <c r="AB45" s="13">
        <v>7.3159999999999998</v>
      </c>
      <c r="AC45" s="13">
        <v>5.6319999999999997</v>
      </c>
      <c r="AD45" s="13">
        <v>0.28110000000000002</v>
      </c>
      <c r="AE45" s="13">
        <v>3.235E-3</v>
      </c>
      <c r="AF45" s="13">
        <v>4.532</v>
      </c>
      <c r="AG45" s="13">
        <v>1.2609999999999999</v>
      </c>
      <c r="AH45" s="13">
        <v>4.2939999999999999E-2</v>
      </c>
      <c r="AI45" s="13">
        <v>0.60240000000000005</v>
      </c>
      <c r="AJ45" s="13">
        <v>2.6210000000000001E-3</v>
      </c>
      <c r="AK45" s="16">
        <v>2.0619999999999998</v>
      </c>
      <c r="AM45"/>
    </row>
    <row r="46" spans="1:39" ht="15.75" x14ac:dyDescent="0.25">
      <c r="A46" s="15" t="s">
        <v>24</v>
      </c>
      <c r="B46" s="46" t="s">
        <v>82</v>
      </c>
      <c r="C46" s="47" t="s">
        <v>28</v>
      </c>
      <c r="D46" s="46">
        <v>21</v>
      </c>
      <c r="F46" s="48" t="s">
        <v>86</v>
      </c>
      <c r="H46" s="47" t="s">
        <v>26</v>
      </c>
      <c r="I46" s="24" t="s">
        <v>74</v>
      </c>
      <c r="J46" s="33">
        <v>5.2610000000000001E-3</v>
      </c>
      <c r="K46" s="13">
        <v>1.9810000000000001</v>
      </c>
      <c r="L46" s="41"/>
      <c r="M46" s="13">
        <v>2.077E-2</v>
      </c>
      <c r="N46" s="13">
        <v>8.1929999999999996</v>
      </c>
      <c r="O46" s="13">
        <v>3.4830000000000001</v>
      </c>
      <c r="P46" s="13">
        <v>0.55289999999999995</v>
      </c>
      <c r="Q46" s="13">
        <v>1.5089999999999999E-3</v>
      </c>
      <c r="R46" s="13">
        <v>1.99</v>
      </c>
      <c r="S46" s="13">
        <v>2.8109999999999999</v>
      </c>
      <c r="T46" s="13">
        <v>3.576E-2</v>
      </c>
      <c r="U46" s="13">
        <v>0.55359999999999998</v>
      </c>
      <c r="V46" s="13">
        <v>1.1610000000000001E-2</v>
      </c>
      <c r="W46" s="13">
        <v>2.8439999999999999</v>
      </c>
      <c r="X46" s="33">
        <v>7.9850000000000008E-3</v>
      </c>
      <c r="Y46" s="13">
        <v>1.8069999999999999</v>
      </c>
      <c r="Z46" s="44"/>
      <c r="AA46" s="13">
        <v>9.6860000000000002E-3</v>
      </c>
      <c r="AB46" s="13">
        <v>9.1679999999999993</v>
      </c>
      <c r="AC46" s="13">
        <v>3.8839999999999999</v>
      </c>
      <c r="AD46" s="13">
        <v>0.71289999999999998</v>
      </c>
      <c r="AE46" s="13">
        <v>2.5990000000000002E-3</v>
      </c>
      <c r="AF46" s="13">
        <v>4.1029999999999998</v>
      </c>
      <c r="AG46" s="13">
        <v>2.8370000000000002</v>
      </c>
      <c r="AH46" s="13">
        <v>3.2230000000000002E-2</v>
      </c>
      <c r="AI46" s="13">
        <v>0.94359999999999999</v>
      </c>
      <c r="AJ46" s="13">
        <v>2.7420000000000001E-3</v>
      </c>
      <c r="AK46" s="16">
        <v>1.3720000000000001</v>
      </c>
      <c r="AM46"/>
    </row>
    <row r="47" spans="1:39" ht="15.75" x14ac:dyDescent="0.25">
      <c r="A47" s="15" t="s">
        <v>24</v>
      </c>
      <c r="B47" s="46" t="s">
        <v>82</v>
      </c>
      <c r="C47" s="47" t="s">
        <v>28</v>
      </c>
      <c r="D47" s="46">
        <v>21</v>
      </c>
      <c r="F47" s="48" t="s">
        <v>92</v>
      </c>
      <c r="H47" s="47" t="s">
        <v>26</v>
      </c>
      <c r="I47" s="24" t="s">
        <v>75</v>
      </c>
      <c r="J47" s="33">
        <v>8.2649999999999998E-3</v>
      </c>
      <c r="K47" s="13">
        <v>2.1440000000000001</v>
      </c>
      <c r="L47" s="41"/>
      <c r="M47" s="13">
        <v>2.5530000000000001E-2</v>
      </c>
      <c r="N47" s="13">
        <v>12.78</v>
      </c>
      <c r="O47" s="13">
        <v>4.6340000000000003</v>
      </c>
      <c r="P47" s="13">
        <v>0.3095</v>
      </c>
      <c r="Q47" s="13">
        <v>1.8910000000000001E-3</v>
      </c>
      <c r="R47" s="13">
        <v>2.2850000000000001</v>
      </c>
      <c r="S47" s="13">
        <v>3.2029999999999998</v>
      </c>
      <c r="T47" s="13">
        <v>1.9689999999999999E-2</v>
      </c>
      <c r="U47" s="13">
        <v>0.51490000000000002</v>
      </c>
      <c r="V47" s="13">
        <v>1.213E-2</v>
      </c>
      <c r="W47" s="13">
        <v>3.59</v>
      </c>
      <c r="X47" s="33">
        <v>4.6719999999999999E-3</v>
      </c>
      <c r="Y47" s="13">
        <v>2.2440000000000002</v>
      </c>
      <c r="Z47" s="44"/>
      <c r="AA47" s="13">
        <v>5.765E-2</v>
      </c>
      <c r="AB47" s="13">
        <v>7.3380000000000001</v>
      </c>
      <c r="AC47" s="13">
        <v>5.2450000000000001</v>
      </c>
      <c r="AD47" s="13">
        <v>0.28310000000000002</v>
      </c>
      <c r="AE47" s="13">
        <v>1.9810000000000001E-3</v>
      </c>
      <c r="AF47" s="13">
        <v>6.3470000000000004</v>
      </c>
      <c r="AG47" s="13">
        <v>1.2210000000000001</v>
      </c>
      <c r="AH47" s="13">
        <v>0.1134</v>
      </c>
      <c r="AI47" s="13">
        <v>0.51929999999999998</v>
      </c>
      <c r="AJ47" s="13">
        <v>3.888E-3</v>
      </c>
      <c r="AK47" s="16">
        <v>3.7210000000000001</v>
      </c>
      <c r="AM47"/>
    </row>
    <row r="48" spans="1:39" ht="15.75" x14ac:dyDescent="0.25">
      <c r="A48" s="15" t="s">
        <v>24</v>
      </c>
      <c r="B48" s="46" t="s">
        <v>82</v>
      </c>
      <c r="C48" s="47" t="s">
        <v>28</v>
      </c>
      <c r="D48" s="46">
        <v>21</v>
      </c>
      <c r="F48" s="48" t="s">
        <v>91</v>
      </c>
      <c r="H48" s="47" t="s">
        <v>26</v>
      </c>
      <c r="I48" s="24" t="s">
        <v>76</v>
      </c>
      <c r="J48" s="33">
        <v>4.9300000000000004E-3</v>
      </c>
      <c r="K48" s="13">
        <v>2.202</v>
      </c>
      <c r="L48" s="41"/>
      <c r="M48" s="13">
        <v>1.225E-2</v>
      </c>
      <c r="N48" s="13">
        <v>12.23</v>
      </c>
      <c r="O48" s="13">
        <v>4.0209999999999999</v>
      </c>
      <c r="P48" s="13">
        <v>0.29730000000000001</v>
      </c>
      <c r="Q48" s="13">
        <v>1.0690000000000001E-3</v>
      </c>
      <c r="R48" s="13">
        <v>1.4019999999999999</v>
      </c>
      <c r="S48" s="13">
        <v>3.8170000000000002</v>
      </c>
      <c r="T48" s="13">
        <v>3.2289999999999999E-2</v>
      </c>
      <c r="U48" s="13">
        <v>0.46989999999999998</v>
      </c>
      <c r="V48" s="13">
        <v>1.213E-2</v>
      </c>
      <c r="W48" s="13">
        <v>3.052</v>
      </c>
      <c r="X48" s="33">
        <v>5.7959999999999999E-3</v>
      </c>
      <c r="Y48" s="13">
        <v>2.7650000000000001</v>
      </c>
      <c r="Z48" s="44"/>
      <c r="AA48" s="13">
        <v>2.682E-2</v>
      </c>
      <c r="AB48" s="13">
        <v>8.109</v>
      </c>
      <c r="AC48" s="13">
        <v>5.5380000000000003</v>
      </c>
      <c r="AD48" s="13">
        <v>0.3155</v>
      </c>
      <c r="AE48" s="13">
        <v>1.519E-3</v>
      </c>
      <c r="AF48" s="13">
        <v>6.298</v>
      </c>
      <c r="AG48" s="13">
        <v>1.7410000000000001</v>
      </c>
      <c r="AH48" s="13">
        <v>0.1082</v>
      </c>
      <c r="AI48" s="13">
        <v>0.55879999999999996</v>
      </c>
      <c r="AJ48" s="13">
        <v>3.2060000000000001E-3</v>
      </c>
      <c r="AK48" s="16">
        <v>2.8519999999999999</v>
      </c>
      <c r="AM48"/>
    </row>
    <row r="49" spans="1:47" ht="16.5" thickBot="1" x14ac:dyDescent="0.3">
      <c r="A49" s="15" t="s">
        <v>24</v>
      </c>
      <c r="B49" s="46" t="s">
        <v>82</v>
      </c>
      <c r="C49" s="47" t="s">
        <v>28</v>
      </c>
      <c r="D49" s="46">
        <v>21</v>
      </c>
      <c r="F49" s="48" t="s">
        <v>87</v>
      </c>
      <c r="H49" s="47" t="s">
        <v>26</v>
      </c>
      <c r="I49" s="27" t="s">
        <v>77</v>
      </c>
      <c r="J49" s="34">
        <v>4.8279999999999998E-3</v>
      </c>
      <c r="K49" s="4">
        <v>3.5030000000000001</v>
      </c>
      <c r="L49" s="42"/>
      <c r="M49" s="4">
        <v>2.7910000000000001E-2</v>
      </c>
      <c r="N49" s="4">
        <v>12.58</v>
      </c>
      <c r="O49" s="4">
        <v>4.7910000000000004</v>
      </c>
      <c r="P49" s="4">
        <v>0.42149999999999999</v>
      </c>
      <c r="Q49" s="4">
        <v>1.0200000000000001E-3</v>
      </c>
      <c r="R49" s="4">
        <v>2.6469999999999998</v>
      </c>
      <c r="S49" s="4">
        <v>4.2679999999999998</v>
      </c>
      <c r="T49" s="4">
        <v>2.8809999999999999E-2</v>
      </c>
      <c r="U49" s="4">
        <v>0.48809999999999998</v>
      </c>
      <c r="V49" s="4">
        <v>9.4310000000000001E-3</v>
      </c>
      <c r="W49" s="4">
        <v>2.6680000000000001</v>
      </c>
      <c r="X49" s="34">
        <v>6.9839999999999998E-3</v>
      </c>
      <c r="Y49" s="4">
        <v>2.7229999999999999</v>
      </c>
      <c r="Z49" s="45"/>
      <c r="AA49" s="4">
        <v>1.328E-2</v>
      </c>
      <c r="AB49" s="4">
        <v>10.29</v>
      </c>
      <c r="AC49" s="4">
        <v>3.9790000000000001</v>
      </c>
      <c r="AD49" s="4">
        <v>0.3488</v>
      </c>
      <c r="AE49" s="4">
        <v>1.64E-3</v>
      </c>
      <c r="AF49" s="4">
        <v>3.75</v>
      </c>
      <c r="AG49" s="4">
        <v>3.15</v>
      </c>
      <c r="AH49" s="4">
        <v>2.7040000000000002E-2</v>
      </c>
      <c r="AI49" s="4">
        <v>0.67900000000000005</v>
      </c>
      <c r="AJ49" s="4">
        <v>2.604E-3</v>
      </c>
      <c r="AK49" s="5">
        <v>2.0329999999999999</v>
      </c>
      <c r="AM49"/>
    </row>
    <row r="50" spans="1:47" x14ac:dyDescent="0.25">
      <c r="N50" s="61" t="s">
        <v>78</v>
      </c>
      <c r="O50" s="61"/>
      <c r="P50" s="61"/>
      <c r="R50" s="29"/>
      <c r="W50" s="39" t="s">
        <v>79</v>
      </c>
      <c r="AM50"/>
      <c r="AN50"/>
      <c r="AO50"/>
      <c r="AP50"/>
      <c r="AQ50"/>
      <c r="AR50"/>
      <c r="AS50"/>
      <c r="AT50"/>
    </row>
    <row r="51" spans="1:47" x14ac:dyDescent="0.25">
      <c r="AM51"/>
      <c r="AN51"/>
      <c r="AO51"/>
      <c r="AP51"/>
      <c r="AQ51"/>
      <c r="AR51"/>
      <c r="AS51"/>
      <c r="AT51"/>
    </row>
    <row r="52" spans="1:47" x14ac:dyDescent="0.25">
      <c r="AM52" s="25"/>
      <c r="AT52" s="25"/>
    </row>
    <row r="53" spans="1:47" x14ac:dyDescent="0.25">
      <c r="AM53" s="25"/>
      <c r="AT53" s="25"/>
    </row>
    <row r="54" spans="1:47" x14ac:dyDescent="0.25">
      <c r="AM54" s="25"/>
      <c r="AT54" s="25"/>
    </row>
    <row r="55" spans="1:47" x14ac:dyDescent="0.25">
      <c r="AM55" s="25"/>
      <c r="AT55" s="25"/>
    </row>
    <row r="56" spans="1:47" x14ac:dyDescent="0.25">
      <c r="AM56" s="25"/>
      <c r="AT56" s="25"/>
    </row>
    <row r="57" spans="1:47" x14ac:dyDescent="0.25">
      <c r="AM57" s="25"/>
      <c r="AT57" s="25"/>
    </row>
    <row r="58" spans="1:47" x14ac:dyDescent="0.25">
      <c r="AM58" s="25"/>
      <c r="AT58" s="25"/>
      <c r="AU58" s="26"/>
    </row>
    <row r="59" spans="1:47" x14ac:dyDescent="0.25">
      <c r="AM59" s="25"/>
      <c r="AT59" s="25"/>
      <c r="AU59" s="26"/>
    </row>
    <row r="60" spans="1:47" x14ac:dyDescent="0.25">
      <c r="AM60" s="25"/>
      <c r="AT60" s="25"/>
      <c r="AU60" s="26"/>
    </row>
    <row r="61" spans="1:47" x14ac:dyDescent="0.25">
      <c r="AM61" s="25"/>
      <c r="AT61" s="25"/>
      <c r="AU61" s="26"/>
    </row>
    <row r="62" spans="1:47" x14ac:dyDescent="0.25">
      <c r="AM62"/>
      <c r="AT62"/>
      <c r="AU62" s="26"/>
    </row>
    <row r="63" spans="1:47" x14ac:dyDescent="0.25">
      <c r="AM63"/>
      <c r="AT63"/>
      <c r="AU63" s="26"/>
    </row>
    <row r="64" spans="1:47" x14ac:dyDescent="0.25">
      <c r="AM64"/>
      <c r="AT64"/>
      <c r="AU64" s="26"/>
    </row>
    <row r="65" spans="39:47" x14ac:dyDescent="0.25">
      <c r="AM65"/>
      <c r="AT65"/>
      <c r="AU65" s="26"/>
    </row>
    <row r="66" spans="39:47" x14ac:dyDescent="0.25">
      <c r="AM66"/>
      <c r="AT66"/>
      <c r="AU66" s="26"/>
    </row>
    <row r="67" spans="39:47" x14ac:dyDescent="0.25">
      <c r="AM67"/>
      <c r="AT67"/>
      <c r="AU67" s="26"/>
    </row>
    <row r="68" spans="39:47" x14ac:dyDescent="0.25">
      <c r="AM68"/>
      <c r="AT68"/>
    </row>
    <row r="69" spans="39:47" x14ac:dyDescent="0.25">
      <c r="AM69"/>
      <c r="AT69"/>
    </row>
    <row r="70" spans="39:47" x14ac:dyDescent="0.25">
      <c r="AM70"/>
      <c r="AT70"/>
    </row>
    <row r="71" spans="39:47" x14ac:dyDescent="0.25">
      <c r="AM71"/>
      <c r="AT71"/>
    </row>
    <row r="72" spans="39:47" x14ac:dyDescent="0.25">
      <c r="AM72"/>
      <c r="AT72"/>
    </row>
    <row r="73" spans="39:47" x14ac:dyDescent="0.25">
      <c r="AM73"/>
      <c r="AT73"/>
    </row>
    <row r="74" spans="39:47" x14ac:dyDescent="0.25">
      <c r="AM74"/>
      <c r="AT74"/>
    </row>
    <row r="75" spans="39:47" x14ac:dyDescent="0.25">
      <c r="AM75"/>
      <c r="AT75"/>
    </row>
    <row r="76" spans="39:47" x14ac:dyDescent="0.25">
      <c r="AM76"/>
      <c r="AT76"/>
    </row>
  </sheetData>
  <sortState xmlns:xlrd2="http://schemas.microsoft.com/office/spreadsheetml/2017/richdata2" ref="C7:H49">
    <sortCondition ref="D7:D49"/>
    <sortCondition ref="F7:F49"/>
  </sortState>
  <mergeCells count="3">
    <mergeCell ref="J5:W5"/>
    <mergeCell ref="X5:AK5"/>
    <mergeCell ref="N50:P5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FC16C-E8A5-4027-9426-4D496C6CE2E7}">
  <dimension ref="A1:AC87"/>
  <sheetViews>
    <sheetView tabSelected="1" zoomScale="70" zoomScaleNormal="70" workbookViewId="0">
      <selection activeCell="I21" sqref="I21"/>
    </sheetView>
  </sheetViews>
  <sheetFormatPr baseColWidth="10" defaultColWidth="11.42578125" defaultRowHeight="15" x14ac:dyDescent="0.25"/>
  <cols>
    <col min="1" max="6" width="11.42578125" style="51"/>
    <col min="7" max="7" width="17.5703125" style="51" customWidth="1"/>
    <col min="8" max="9" width="11.42578125" style="51"/>
    <col min="10" max="10" width="16.42578125" style="59" customWidth="1"/>
    <col min="11" max="11" width="10.28515625" style="51" bestFit="1" customWidth="1"/>
    <col min="12" max="12" width="13.5703125" style="51" bestFit="1" customWidth="1"/>
    <col min="13" max="13" width="13.85546875" style="51" bestFit="1" customWidth="1"/>
    <col min="14" max="14" width="13" style="51" bestFit="1" customWidth="1"/>
    <col min="15" max="15" width="21.5703125" style="51" bestFit="1" customWidth="1"/>
    <col min="16" max="16" width="13.42578125" style="51" bestFit="1" customWidth="1"/>
    <col min="17" max="17" width="18.7109375" style="51" bestFit="1" customWidth="1"/>
    <col min="18" max="18" width="14.42578125" style="51" bestFit="1" customWidth="1"/>
    <col min="19" max="19" width="17.42578125" style="51" bestFit="1" customWidth="1"/>
    <col min="20" max="20" width="21.140625" style="51" bestFit="1" customWidth="1"/>
    <col min="21" max="21" width="14" style="51" bestFit="1" customWidth="1"/>
    <col min="22" max="22" width="16" style="51" bestFit="1" customWidth="1"/>
    <col min="23" max="23" width="12" style="51" bestFit="1" customWidth="1"/>
    <col min="24" max="24" width="15.7109375" style="51" bestFit="1" customWidth="1"/>
    <col min="25" max="28" width="10.42578125" style="51" customWidth="1"/>
    <col min="29" max="16384" width="11.42578125" style="51"/>
  </cols>
  <sheetData>
    <row r="1" spans="1:24" x14ac:dyDescent="0.25">
      <c r="A1" s="49" t="s">
        <v>18</v>
      </c>
      <c r="B1" s="49" t="s">
        <v>19</v>
      </c>
      <c r="C1" s="49" t="s">
        <v>20</v>
      </c>
      <c r="D1" s="49" t="s">
        <v>21</v>
      </c>
      <c r="E1" s="49" t="s">
        <v>22</v>
      </c>
      <c r="F1" s="49" t="s">
        <v>23</v>
      </c>
      <c r="G1" s="49" t="s">
        <v>2</v>
      </c>
      <c r="H1" s="49" t="s">
        <v>29</v>
      </c>
      <c r="I1" s="49" t="s">
        <v>30</v>
      </c>
      <c r="J1" s="53" t="s">
        <v>2</v>
      </c>
      <c r="K1" s="57" t="s">
        <v>3</v>
      </c>
      <c r="L1" s="57" t="s">
        <v>4</v>
      </c>
      <c r="M1" s="57" t="s">
        <v>5</v>
      </c>
      <c r="N1" s="57" t="s">
        <v>6</v>
      </c>
      <c r="O1" s="57" t="s">
        <v>7</v>
      </c>
      <c r="P1" s="57" t="s">
        <v>8</v>
      </c>
      <c r="Q1" s="60" t="s">
        <v>33</v>
      </c>
      <c r="R1" s="57" t="s">
        <v>9</v>
      </c>
      <c r="S1" s="57" t="s">
        <v>10</v>
      </c>
      <c r="T1" s="57" t="s">
        <v>11</v>
      </c>
      <c r="U1" s="57" t="s">
        <v>12</v>
      </c>
      <c r="V1" s="57" t="s">
        <v>13</v>
      </c>
      <c r="W1" s="57" t="s">
        <v>14</v>
      </c>
      <c r="X1" s="57" t="s">
        <v>15</v>
      </c>
    </row>
    <row r="2" spans="1:24" x14ac:dyDescent="0.25">
      <c r="A2" s="49" t="s">
        <v>24</v>
      </c>
      <c r="B2" s="49" t="s">
        <v>82</v>
      </c>
      <c r="C2" s="50" t="s">
        <v>28</v>
      </c>
      <c r="D2" s="49">
        <v>10</v>
      </c>
      <c r="F2" s="50" t="s">
        <v>125</v>
      </c>
      <c r="H2" s="50" t="s">
        <v>100</v>
      </c>
      <c r="I2" s="50" t="s">
        <v>16</v>
      </c>
      <c r="J2" s="53" t="s">
        <v>34</v>
      </c>
      <c r="K2" s="54">
        <v>5.4200000000000003E-3</v>
      </c>
      <c r="L2" s="54">
        <v>1.7929999999999999</v>
      </c>
      <c r="M2" s="51" t="s">
        <v>35</v>
      </c>
      <c r="N2" s="54">
        <v>3.074E-2</v>
      </c>
      <c r="O2" s="54">
        <v>4.47</v>
      </c>
      <c r="P2" s="54">
        <v>4.0039999999999996</v>
      </c>
      <c r="Q2" s="54">
        <v>0.27089999999999997</v>
      </c>
      <c r="R2" s="54">
        <v>1.418E-3</v>
      </c>
      <c r="S2" s="54">
        <v>3.097</v>
      </c>
      <c r="T2" s="54">
        <v>1.216</v>
      </c>
      <c r="U2" s="54">
        <v>5.6189999999999997E-2</v>
      </c>
      <c r="V2" s="54">
        <v>0.3085</v>
      </c>
      <c r="W2" s="54">
        <v>9.2630000000000004E-3</v>
      </c>
      <c r="X2" s="54">
        <v>2.2029999999999998</v>
      </c>
    </row>
    <row r="3" spans="1:24" x14ac:dyDescent="0.25">
      <c r="A3" s="49" t="s">
        <v>24</v>
      </c>
      <c r="B3" s="49" t="s">
        <v>82</v>
      </c>
      <c r="C3" s="50" t="s">
        <v>28</v>
      </c>
      <c r="D3" s="49">
        <v>10</v>
      </c>
      <c r="E3" s="52"/>
      <c r="F3" s="50" t="s">
        <v>116</v>
      </c>
      <c r="G3" s="52"/>
      <c r="H3" s="50" t="s">
        <v>100</v>
      </c>
      <c r="I3" s="50" t="s">
        <v>16</v>
      </c>
      <c r="J3" s="53" t="s">
        <v>36</v>
      </c>
      <c r="K3" s="54">
        <v>8.5850000000000006E-3</v>
      </c>
      <c r="L3" s="54">
        <v>1.9059999999999999</v>
      </c>
      <c r="N3" s="54">
        <v>3.4509999999999999E-2</v>
      </c>
      <c r="O3" s="54">
        <v>6.681</v>
      </c>
      <c r="P3" s="54">
        <v>4.9349999999999996</v>
      </c>
      <c r="Q3" s="54">
        <v>0.29010000000000002</v>
      </c>
      <c r="R3" s="54">
        <v>1.513E-3</v>
      </c>
      <c r="S3" s="54">
        <v>3.1749999999999998</v>
      </c>
      <c r="T3" s="54">
        <v>1.9450000000000001</v>
      </c>
      <c r="U3" s="54">
        <v>6.9589999999999999E-2</v>
      </c>
      <c r="V3" s="54">
        <v>0.42670000000000002</v>
      </c>
      <c r="W3" s="54">
        <v>8.4539999999999997E-3</v>
      </c>
      <c r="X3" s="54">
        <v>1.901</v>
      </c>
    </row>
    <row r="4" spans="1:24" x14ac:dyDescent="0.25">
      <c r="A4" s="49" t="s">
        <v>24</v>
      </c>
      <c r="B4" s="49" t="s">
        <v>82</v>
      </c>
      <c r="C4" s="50" t="s">
        <v>28</v>
      </c>
      <c r="D4" s="49">
        <v>10</v>
      </c>
      <c r="E4" s="52"/>
      <c r="F4" s="50" t="s">
        <v>117</v>
      </c>
      <c r="G4" s="52"/>
      <c r="H4" s="50" t="s">
        <v>100</v>
      </c>
      <c r="I4" s="50" t="s">
        <v>16</v>
      </c>
      <c r="J4" s="53" t="s">
        <v>37</v>
      </c>
      <c r="K4" s="54">
        <v>9.2739999999999993E-3</v>
      </c>
      <c r="L4" s="54">
        <v>2.008</v>
      </c>
      <c r="N4" s="54">
        <v>2.0119999999999999E-2</v>
      </c>
      <c r="O4" s="54">
        <v>9.0559999999999992</v>
      </c>
      <c r="P4" s="54">
        <v>4.8419999999999996</v>
      </c>
      <c r="Q4" s="54">
        <v>0.30020000000000002</v>
      </c>
      <c r="R4" s="54">
        <v>1.5269999999999999E-3</v>
      </c>
      <c r="S4" s="54">
        <v>2.5640000000000001</v>
      </c>
      <c r="T4" s="54">
        <v>2.81</v>
      </c>
      <c r="U4" s="54">
        <v>5.5660000000000001E-2</v>
      </c>
      <c r="V4" s="54">
        <v>0.48010000000000003</v>
      </c>
      <c r="W4" s="54">
        <v>1.1979999999999999E-2</v>
      </c>
      <c r="X4" s="54">
        <v>3.0369999999999999</v>
      </c>
    </row>
    <row r="5" spans="1:24" x14ac:dyDescent="0.25">
      <c r="A5" s="49" t="s">
        <v>24</v>
      </c>
      <c r="B5" s="49" t="s">
        <v>82</v>
      </c>
      <c r="C5" s="50" t="s">
        <v>28</v>
      </c>
      <c r="D5" s="49">
        <v>10</v>
      </c>
      <c r="F5" s="50" t="s">
        <v>127</v>
      </c>
      <c r="H5" s="50" t="s">
        <v>100</v>
      </c>
      <c r="I5" s="50" t="s">
        <v>16</v>
      </c>
      <c r="J5" s="53" t="s">
        <v>38</v>
      </c>
      <c r="K5" s="54">
        <v>5.3119999999999999E-3</v>
      </c>
      <c r="L5" s="54">
        <v>1.9890000000000001</v>
      </c>
      <c r="N5" s="54">
        <v>3.5380000000000002E-2</v>
      </c>
      <c r="O5" s="54">
        <v>5.5940000000000003</v>
      </c>
      <c r="P5" s="54">
        <v>4.1360000000000001</v>
      </c>
      <c r="Q5" s="54">
        <v>0.29559999999999997</v>
      </c>
      <c r="R5" s="54">
        <v>1.833E-3</v>
      </c>
      <c r="S5" s="54">
        <v>3.1389999999999998</v>
      </c>
      <c r="T5" s="54">
        <v>1.595</v>
      </c>
      <c r="U5" s="54">
        <v>3.6549999999999999E-2</v>
      </c>
      <c r="V5" s="54">
        <v>0.4587</v>
      </c>
      <c r="W5" s="54">
        <v>9.2320000000000006E-3</v>
      </c>
      <c r="X5" s="54">
        <v>2.367</v>
      </c>
    </row>
    <row r="6" spans="1:24" x14ac:dyDescent="0.25">
      <c r="A6" s="49" t="s">
        <v>24</v>
      </c>
      <c r="B6" s="49" t="s">
        <v>82</v>
      </c>
      <c r="C6" s="50" t="s">
        <v>28</v>
      </c>
      <c r="D6" s="49">
        <v>10</v>
      </c>
      <c r="F6" s="50" t="s">
        <v>126</v>
      </c>
      <c r="H6" s="50" t="s">
        <v>100</v>
      </c>
      <c r="I6" s="50" t="s">
        <v>16</v>
      </c>
      <c r="J6" s="53" t="s">
        <v>39</v>
      </c>
      <c r="K6" s="54">
        <v>7.3020000000000003E-3</v>
      </c>
      <c r="L6" s="54">
        <v>1.6919999999999999</v>
      </c>
      <c r="N6" s="54">
        <v>2.1499999999999998E-2</v>
      </c>
      <c r="O6" s="54">
        <v>5.125</v>
      </c>
      <c r="P6" s="54">
        <v>3.7869999999999999</v>
      </c>
      <c r="Q6" s="54">
        <v>0.2525</v>
      </c>
      <c r="R6" s="54">
        <v>9.9050000000000006E-4</v>
      </c>
      <c r="S6" s="54">
        <v>2.9969999999999999</v>
      </c>
      <c r="T6" s="54">
        <v>1.5429999999999999</v>
      </c>
      <c r="U6" s="54">
        <v>5.1909999999999998E-2</v>
      </c>
      <c r="V6" s="54">
        <v>0.37080000000000002</v>
      </c>
      <c r="W6" s="54">
        <v>8.4169999999999991E-3</v>
      </c>
      <c r="X6" s="54">
        <v>2.5910000000000002</v>
      </c>
    </row>
    <row r="7" spans="1:24" x14ac:dyDescent="0.25">
      <c r="A7" s="49" t="s">
        <v>24</v>
      </c>
      <c r="B7" s="49" t="s">
        <v>82</v>
      </c>
      <c r="C7" s="50" t="s">
        <v>28</v>
      </c>
      <c r="D7" s="49">
        <v>11</v>
      </c>
      <c r="F7" s="50" t="s">
        <v>84</v>
      </c>
      <c r="H7" s="50" t="s">
        <v>26</v>
      </c>
      <c r="I7" s="50" t="s">
        <v>16</v>
      </c>
      <c r="J7" s="53" t="s">
        <v>40</v>
      </c>
      <c r="K7" s="54">
        <v>2.9659999999999999E-3</v>
      </c>
      <c r="L7" s="54">
        <v>3.06</v>
      </c>
      <c r="N7" s="54">
        <v>2.7910000000000001E-2</v>
      </c>
      <c r="O7" s="54">
        <v>12.31</v>
      </c>
      <c r="P7" s="54">
        <v>4.0469999999999997</v>
      </c>
      <c r="Q7" s="54">
        <v>0.33910000000000001</v>
      </c>
      <c r="R7" s="54">
        <v>1.1069999999999999E-3</v>
      </c>
      <c r="S7" s="54">
        <v>2.8260000000000001</v>
      </c>
      <c r="T7" s="54">
        <v>3.6680000000000001</v>
      </c>
      <c r="U7" s="54">
        <v>4.2099999999999999E-2</v>
      </c>
      <c r="V7" s="54">
        <v>0.41220000000000001</v>
      </c>
      <c r="W7" s="54">
        <v>5.8110000000000002E-3</v>
      </c>
      <c r="X7" s="54">
        <v>2.6779999999999999</v>
      </c>
    </row>
    <row r="8" spans="1:24" x14ac:dyDescent="0.25">
      <c r="A8" s="49" t="s">
        <v>24</v>
      </c>
      <c r="B8" s="49" t="s">
        <v>82</v>
      </c>
      <c r="C8" s="50" t="s">
        <v>28</v>
      </c>
      <c r="D8" s="49">
        <v>11</v>
      </c>
      <c r="F8" s="50" t="s">
        <v>83</v>
      </c>
      <c r="H8" s="50" t="s">
        <v>26</v>
      </c>
      <c r="I8" s="50" t="s">
        <v>16</v>
      </c>
      <c r="J8" s="53" t="s">
        <v>41</v>
      </c>
      <c r="K8" s="54">
        <v>2.8389999999999999E-3</v>
      </c>
      <c r="L8" s="54">
        <v>2.746</v>
      </c>
      <c r="N8" s="54">
        <v>2.0920000000000001E-2</v>
      </c>
      <c r="O8" s="54">
        <v>10.06</v>
      </c>
      <c r="P8" s="54">
        <v>4.1550000000000002</v>
      </c>
      <c r="Q8" s="54">
        <v>0.34260000000000002</v>
      </c>
      <c r="R8" s="54">
        <v>1.284E-3</v>
      </c>
      <c r="S8" s="54">
        <v>2.1230000000000002</v>
      </c>
      <c r="T8" s="54">
        <v>3.0209999999999999</v>
      </c>
      <c r="U8" s="54">
        <v>2.8840000000000001E-2</v>
      </c>
      <c r="V8" s="54">
        <v>0.36330000000000001</v>
      </c>
      <c r="W8" s="54">
        <v>8.3289999999999996E-3</v>
      </c>
      <c r="X8" s="54">
        <v>2.1909999999999998</v>
      </c>
    </row>
    <row r="9" spans="1:24" x14ac:dyDescent="0.25">
      <c r="A9" s="49" t="s">
        <v>24</v>
      </c>
      <c r="B9" s="49" t="s">
        <v>82</v>
      </c>
      <c r="C9" s="50" t="s">
        <v>28</v>
      </c>
      <c r="D9" s="49">
        <v>11</v>
      </c>
      <c r="F9" s="50" t="s">
        <v>85</v>
      </c>
      <c r="H9" s="50" t="s">
        <v>26</v>
      </c>
      <c r="I9" s="50" t="s">
        <v>16</v>
      </c>
      <c r="J9" s="53" t="s">
        <v>42</v>
      </c>
      <c r="K9" s="54">
        <v>6.8129999999999996E-3</v>
      </c>
      <c r="L9" s="54">
        <v>2.964</v>
      </c>
      <c r="N9" s="54">
        <v>2.9020000000000001E-2</v>
      </c>
      <c r="O9" s="54">
        <v>11.57</v>
      </c>
      <c r="P9" s="54">
        <v>4.5270000000000001</v>
      </c>
      <c r="Q9" s="54">
        <v>0.35060000000000002</v>
      </c>
      <c r="R9" s="54">
        <v>1.4300000000000001E-3</v>
      </c>
      <c r="S9" s="54">
        <v>2.7130000000000001</v>
      </c>
      <c r="T9" s="54">
        <v>2.6640000000000001</v>
      </c>
      <c r="U9" s="54">
        <v>4.8000000000000001E-2</v>
      </c>
      <c r="V9" s="54">
        <v>0.4652</v>
      </c>
      <c r="W9" s="54">
        <v>8.116E-3</v>
      </c>
      <c r="X9" s="54">
        <v>3.1070000000000002</v>
      </c>
    </row>
    <row r="10" spans="1:24" x14ac:dyDescent="0.25">
      <c r="A10" s="49" t="s">
        <v>24</v>
      </c>
      <c r="B10" s="49" t="s">
        <v>82</v>
      </c>
      <c r="C10" s="50" t="s">
        <v>28</v>
      </c>
      <c r="D10" s="49">
        <v>11</v>
      </c>
      <c r="F10" s="50" t="s">
        <v>120</v>
      </c>
      <c r="H10" s="50" t="s">
        <v>100</v>
      </c>
      <c r="I10" s="50" t="s">
        <v>16</v>
      </c>
      <c r="J10" s="53" t="s">
        <v>43</v>
      </c>
      <c r="K10" s="54">
        <v>6.2160000000000002E-3</v>
      </c>
      <c r="L10" s="54">
        <v>2.2789999999999999</v>
      </c>
      <c r="N10" s="54">
        <v>1.6750000000000001E-2</v>
      </c>
      <c r="O10" s="54">
        <v>6.7089999999999996</v>
      </c>
      <c r="P10" s="54">
        <v>3.5830000000000002</v>
      </c>
      <c r="Q10" s="54">
        <v>0.25540000000000002</v>
      </c>
      <c r="R10" s="54">
        <v>1.372E-3</v>
      </c>
      <c r="S10" s="54">
        <v>1.9650000000000001</v>
      </c>
      <c r="T10" s="54">
        <v>2.1440000000000001</v>
      </c>
      <c r="U10" s="54">
        <v>4.4749999999999998E-2</v>
      </c>
      <c r="V10" s="54">
        <v>0.3594</v>
      </c>
      <c r="W10" s="54">
        <v>8.8439999999999994E-3</v>
      </c>
      <c r="X10" s="54">
        <v>2.0350000000000001</v>
      </c>
    </row>
    <row r="11" spans="1:24" x14ac:dyDescent="0.25">
      <c r="A11" s="49" t="s">
        <v>24</v>
      </c>
      <c r="B11" s="49" t="s">
        <v>82</v>
      </c>
      <c r="C11" s="50" t="s">
        <v>28</v>
      </c>
      <c r="D11" s="49">
        <v>11</v>
      </c>
      <c r="F11" s="50" t="s">
        <v>121</v>
      </c>
      <c r="H11" s="50" t="s">
        <v>100</v>
      </c>
      <c r="I11" s="50" t="s">
        <v>16</v>
      </c>
      <c r="J11" s="53" t="s">
        <v>44</v>
      </c>
      <c r="K11" s="54">
        <v>6.3140000000000002E-3</v>
      </c>
      <c r="L11" s="54">
        <v>2.4249999999999998</v>
      </c>
      <c r="N11" s="54">
        <v>4.0489999999999998E-2</v>
      </c>
      <c r="O11" s="54">
        <v>6.694</v>
      </c>
      <c r="P11" s="54">
        <v>5.2830000000000004</v>
      </c>
      <c r="Q11" s="54">
        <v>0.31359999999999999</v>
      </c>
      <c r="R11" s="54">
        <v>1.586E-3</v>
      </c>
      <c r="S11" s="54">
        <v>3.8690000000000002</v>
      </c>
      <c r="T11" s="54">
        <v>1.8560000000000001</v>
      </c>
      <c r="U11" s="54">
        <v>7.2690000000000005E-2</v>
      </c>
      <c r="V11" s="54">
        <v>0.42199999999999999</v>
      </c>
      <c r="W11" s="54">
        <v>6.7390000000000002E-3</v>
      </c>
      <c r="X11" s="54">
        <v>1.9370000000000001</v>
      </c>
    </row>
    <row r="12" spans="1:24" x14ac:dyDescent="0.25">
      <c r="A12" s="49" t="s">
        <v>24</v>
      </c>
      <c r="B12" s="49" t="s">
        <v>82</v>
      </c>
      <c r="C12" s="50" t="s">
        <v>28</v>
      </c>
      <c r="D12" s="49">
        <v>12</v>
      </c>
      <c r="E12" s="52"/>
      <c r="F12" s="50" t="s">
        <v>112</v>
      </c>
      <c r="H12" s="50" t="s">
        <v>97</v>
      </c>
      <c r="I12" s="50" t="s">
        <v>16</v>
      </c>
      <c r="J12" s="53" t="s">
        <v>45</v>
      </c>
      <c r="K12" s="54">
        <v>8.4779999999999994E-3</v>
      </c>
      <c r="L12" s="54">
        <v>1.73</v>
      </c>
      <c r="N12" s="54">
        <v>2.1069999999999998E-2</v>
      </c>
      <c r="O12" s="54">
        <v>6.6929999999999996</v>
      </c>
      <c r="P12" s="54">
        <v>4.8890000000000002</v>
      </c>
      <c r="Q12" s="54">
        <v>0.31430000000000002</v>
      </c>
      <c r="R12" s="54">
        <v>2.1949999999999999E-3</v>
      </c>
      <c r="S12" s="54">
        <v>2.641</v>
      </c>
      <c r="T12" s="54">
        <v>2.254</v>
      </c>
      <c r="U12" s="54">
        <v>2.4709999999999999E-2</v>
      </c>
      <c r="V12" s="54">
        <v>0.52239999999999998</v>
      </c>
      <c r="W12" s="54">
        <v>7.0410000000000004E-3</v>
      </c>
      <c r="X12" s="54">
        <v>2.069</v>
      </c>
    </row>
    <row r="13" spans="1:24" x14ac:dyDescent="0.25">
      <c r="A13" s="49" t="s">
        <v>24</v>
      </c>
      <c r="B13" s="49" t="s">
        <v>82</v>
      </c>
      <c r="C13" s="50" t="s">
        <v>28</v>
      </c>
      <c r="D13" s="49">
        <v>12</v>
      </c>
      <c r="E13" s="52"/>
      <c r="F13" s="50" t="s">
        <v>110</v>
      </c>
      <c r="H13" s="50" t="s">
        <v>97</v>
      </c>
      <c r="I13" s="50" t="s">
        <v>16</v>
      </c>
      <c r="J13" s="53" t="s">
        <v>46</v>
      </c>
      <c r="K13" s="54">
        <v>6.117E-3</v>
      </c>
      <c r="L13" s="54">
        <v>1.843</v>
      </c>
      <c r="N13" s="54">
        <v>1.985E-2</v>
      </c>
      <c r="O13" s="54">
        <v>5.109</v>
      </c>
      <c r="P13" s="54">
        <v>4.9569999999999999</v>
      </c>
      <c r="Q13" s="54">
        <v>0.32390000000000002</v>
      </c>
      <c r="R13" s="54">
        <v>1.9910000000000001E-3</v>
      </c>
      <c r="S13" s="54">
        <v>2.0129999999999999</v>
      </c>
      <c r="T13" s="54">
        <v>1.54</v>
      </c>
      <c r="U13" s="54">
        <v>4.6129999999999997E-2</v>
      </c>
      <c r="V13" s="54">
        <v>0.35370000000000001</v>
      </c>
      <c r="W13" s="54">
        <v>1.545E-2</v>
      </c>
      <c r="X13" s="54">
        <v>1.8979999999999999</v>
      </c>
    </row>
    <row r="14" spans="1:24" x14ac:dyDescent="0.25">
      <c r="A14" s="49" t="s">
        <v>24</v>
      </c>
      <c r="B14" s="49" t="s">
        <v>82</v>
      </c>
      <c r="C14" s="50" t="s">
        <v>28</v>
      </c>
      <c r="D14" s="49">
        <v>12</v>
      </c>
      <c r="E14" s="52"/>
      <c r="F14" s="50" t="s">
        <v>111</v>
      </c>
      <c r="H14" s="50" t="s">
        <v>97</v>
      </c>
      <c r="I14" s="50" t="s">
        <v>16</v>
      </c>
      <c r="J14" s="53" t="s">
        <v>47</v>
      </c>
      <c r="K14" s="54">
        <v>1.0880000000000001E-2</v>
      </c>
      <c r="L14" s="54">
        <v>1.974</v>
      </c>
      <c r="N14" s="54">
        <v>2.5760000000000002E-2</v>
      </c>
      <c r="O14" s="54">
        <v>6.8680000000000003</v>
      </c>
      <c r="P14" s="54">
        <v>4.9489999999999998</v>
      </c>
      <c r="Q14" s="54">
        <v>0.34089999999999998</v>
      </c>
      <c r="R14" s="54">
        <v>2.4039999999999999E-3</v>
      </c>
      <c r="S14" s="54">
        <v>2.9060000000000001</v>
      </c>
      <c r="T14" s="54">
        <v>1.9370000000000001</v>
      </c>
      <c r="U14" s="54">
        <v>5.4510000000000003E-2</v>
      </c>
      <c r="V14" s="54">
        <v>0.54310000000000003</v>
      </c>
      <c r="W14" s="54">
        <v>8.6630000000000006E-3</v>
      </c>
      <c r="X14" s="54">
        <v>2.0840000000000001</v>
      </c>
    </row>
    <row r="15" spans="1:24" x14ac:dyDescent="0.25">
      <c r="A15" s="49" t="s">
        <v>24</v>
      </c>
      <c r="B15" s="49" t="s">
        <v>82</v>
      </c>
      <c r="C15" s="50" t="s">
        <v>25</v>
      </c>
      <c r="D15" s="49">
        <v>13</v>
      </c>
      <c r="F15" s="50" t="s">
        <v>101</v>
      </c>
      <c r="H15" s="50" t="s">
        <v>100</v>
      </c>
      <c r="I15" s="50" t="s">
        <v>16</v>
      </c>
      <c r="J15" s="53" t="s">
        <v>48</v>
      </c>
      <c r="K15" s="54">
        <v>5.3030000000000004E-3</v>
      </c>
      <c r="L15" s="54">
        <v>1.425</v>
      </c>
      <c r="N15" s="54">
        <v>1.3129999999999999E-2</v>
      </c>
      <c r="O15" s="54">
        <v>8.1430000000000007</v>
      </c>
      <c r="P15" s="54">
        <v>3.3530000000000002</v>
      </c>
      <c r="Q15" s="54">
        <v>0.57040000000000002</v>
      </c>
      <c r="R15" s="54">
        <v>1.6930000000000001E-3</v>
      </c>
      <c r="S15" s="54">
        <v>1.8149999999999999</v>
      </c>
      <c r="T15" s="54">
        <v>2.5649999999999999</v>
      </c>
      <c r="U15" s="54">
        <v>4.3099999999999999E-2</v>
      </c>
      <c r="V15" s="54">
        <v>0.53839999999999999</v>
      </c>
      <c r="W15" s="54">
        <v>6.1549999999999999E-3</v>
      </c>
      <c r="X15" s="54">
        <v>3.883</v>
      </c>
    </row>
    <row r="16" spans="1:24" x14ac:dyDescent="0.25">
      <c r="A16" s="49" t="s">
        <v>24</v>
      </c>
      <c r="B16" s="49" t="s">
        <v>82</v>
      </c>
      <c r="C16" s="50" t="s">
        <v>25</v>
      </c>
      <c r="D16" s="49">
        <v>13</v>
      </c>
      <c r="F16" s="50" t="s">
        <v>102</v>
      </c>
      <c r="H16" s="50" t="s">
        <v>100</v>
      </c>
      <c r="I16" s="50" t="s">
        <v>16</v>
      </c>
      <c r="J16" s="53" t="s">
        <v>49</v>
      </c>
      <c r="K16" s="54">
        <v>4.0870000000000004E-3</v>
      </c>
      <c r="L16" s="54">
        <v>0.98089999999999999</v>
      </c>
      <c r="N16" s="54">
        <v>1.453E-2</v>
      </c>
      <c r="O16" s="54">
        <v>7.7240000000000002</v>
      </c>
      <c r="P16" s="54">
        <v>2.8290000000000002</v>
      </c>
      <c r="Q16" s="54">
        <v>0.2157</v>
      </c>
      <c r="R16" s="54">
        <v>1.008E-3</v>
      </c>
      <c r="S16" s="54">
        <v>1.6779999999999999</v>
      </c>
      <c r="T16" s="54">
        <v>2.6179999999999999</v>
      </c>
      <c r="U16" s="54">
        <v>3.1530000000000002E-2</v>
      </c>
      <c r="V16" s="54">
        <v>0.37040000000000001</v>
      </c>
      <c r="W16" s="54">
        <v>2.5829999999999998E-3</v>
      </c>
      <c r="X16" s="54">
        <v>1.6080000000000001</v>
      </c>
    </row>
    <row r="17" spans="1:28" x14ac:dyDescent="0.25">
      <c r="A17" s="49" t="s">
        <v>24</v>
      </c>
      <c r="B17" s="49" t="s">
        <v>82</v>
      </c>
      <c r="C17" s="50" t="s">
        <v>25</v>
      </c>
      <c r="D17" s="49">
        <v>14</v>
      </c>
      <c r="F17" s="50" t="s">
        <v>107</v>
      </c>
      <c r="H17" s="50" t="s">
        <v>97</v>
      </c>
      <c r="I17" s="50" t="s">
        <v>16</v>
      </c>
      <c r="J17" s="53" t="s">
        <v>50</v>
      </c>
      <c r="K17" s="54">
        <v>6.5259999999999997E-3</v>
      </c>
      <c r="L17" s="54">
        <v>2.3359999999999999</v>
      </c>
      <c r="N17" s="54">
        <v>1.839E-2</v>
      </c>
      <c r="O17" s="54">
        <v>11.06</v>
      </c>
      <c r="P17" s="54">
        <v>4.1859999999999999</v>
      </c>
      <c r="Q17" s="54">
        <v>0.35420000000000001</v>
      </c>
      <c r="R17" s="54">
        <v>1.655E-3</v>
      </c>
      <c r="S17" s="54">
        <v>1.9139999999999999</v>
      </c>
      <c r="T17" s="54">
        <v>3.8610000000000002</v>
      </c>
      <c r="U17" s="54">
        <v>2.3769999999999999E-2</v>
      </c>
      <c r="V17" s="54">
        <v>0.57150000000000001</v>
      </c>
      <c r="W17" s="54">
        <v>9.3810000000000004E-3</v>
      </c>
      <c r="X17" s="54">
        <v>3.0219999999999998</v>
      </c>
    </row>
    <row r="18" spans="1:28" x14ac:dyDescent="0.25">
      <c r="A18" s="49" t="s">
        <v>24</v>
      </c>
      <c r="B18" s="49" t="s">
        <v>82</v>
      </c>
      <c r="C18" s="50" t="s">
        <v>25</v>
      </c>
      <c r="D18" s="49">
        <v>14</v>
      </c>
      <c r="E18" s="52"/>
      <c r="F18" s="50" t="s">
        <v>109</v>
      </c>
      <c r="G18" s="52"/>
      <c r="H18" s="50" t="s">
        <v>97</v>
      </c>
      <c r="I18" s="50" t="s">
        <v>16</v>
      </c>
      <c r="J18" s="53" t="s">
        <v>51</v>
      </c>
      <c r="K18" s="54">
        <v>1.179E-2</v>
      </c>
      <c r="L18" s="54">
        <v>2.9980000000000002</v>
      </c>
      <c r="N18" s="54">
        <v>4.2369999999999998E-2</v>
      </c>
      <c r="O18" s="54">
        <v>11.94</v>
      </c>
      <c r="P18" s="54">
        <v>9.4160000000000004</v>
      </c>
      <c r="Q18" s="54">
        <v>0.81369999999999998</v>
      </c>
      <c r="R18" s="54">
        <v>2.4550000000000002E-3</v>
      </c>
      <c r="S18" s="54">
        <v>2.1459999999999999</v>
      </c>
      <c r="T18" s="54">
        <v>4.0439999999999996</v>
      </c>
      <c r="U18" s="54">
        <v>9.0630000000000002E-2</v>
      </c>
      <c r="V18" s="54">
        <v>0.83560000000000001</v>
      </c>
      <c r="W18" s="54">
        <v>1.409E-2</v>
      </c>
      <c r="X18" s="54">
        <v>3.6429999999999998</v>
      </c>
    </row>
    <row r="19" spans="1:28" x14ac:dyDescent="0.25">
      <c r="A19" s="49" t="s">
        <v>24</v>
      </c>
      <c r="B19" s="49" t="s">
        <v>82</v>
      </c>
      <c r="C19" s="50" t="s">
        <v>25</v>
      </c>
      <c r="D19" s="49">
        <v>14</v>
      </c>
      <c r="F19" s="50" t="s">
        <v>108</v>
      </c>
      <c r="H19" s="50" t="s">
        <v>97</v>
      </c>
      <c r="I19" s="50" t="s">
        <v>16</v>
      </c>
      <c r="J19" s="53" t="s">
        <v>52</v>
      </c>
      <c r="K19" s="54">
        <v>3.7109999999999999E-3</v>
      </c>
      <c r="L19" s="54">
        <v>1.5529999999999999</v>
      </c>
      <c r="N19" s="54">
        <v>1.4149999999999999E-2</v>
      </c>
      <c r="O19" s="54">
        <v>7.851</v>
      </c>
      <c r="P19" s="54">
        <v>2.835</v>
      </c>
      <c r="Q19" s="54">
        <v>0.22370000000000001</v>
      </c>
      <c r="R19" s="54">
        <v>9.4339999999999995E-4</v>
      </c>
      <c r="S19" s="54">
        <v>1.714</v>
      </c>
      <c r="T19" s="54">
        <v>1.964</v>
      </c>
      <c r="U19" s="54">
        <v>3.2259999999999997E-2</v>
      </c>
      <c r="V19" s="54">
        <v>0.38159999999999999</v>
      </c>
      <c r="W19" s="54">
        <v>2.7030000000000001E-3</v>
      </c>
      <c r="X19" s="54">
        <v>2.464</v>
      </c>
    </row>
    <row r="20" spans="1:28" x14ac:dyDescent="0.25">
      <c r="A20" s="49" t="s">
        <v>24</v>
      </c>
      <c r="B20" s="49" t="s">
        <v>82</v>
      </c>
      <c r="C20" s="50" t="s">
        <v>28</v>
      </c>
      <c r="D20" s="49">
        <v>15</v>
      </c>
      <c r="F20" s="50" t="s">
        <v>123</v>
      </c>
      <c r="H20" s="50" t="s">
        <v>100</v>
      </c>
      <c r="I20" s="50" t="s">
        <v>16</v>
      </c>
      <c r="J20" s="53" t="s">
        <v>53</v>
      </c>
      <c r="K20" s="54">
        <v>1.1440000000000001E-2</v>
      </c>
      <c r="L20" s="54">
        <v>2.6379999999999999</v>
      </c>
      <c r="N20" s="54">
        <v>4.1980000000000003E-2</v>
      </c>
      <c r="O20" s="54">
        <v>8.5960000000000001</v>
      </c>
      <c r="P20" s="54">
        <v>6.6859999999999999</v>
      </c>
      <c r="Q20" s="54">
        <v>0.3231</v>
      </c>
      <c r="R20" s="54">
        <v>1.771E-3</v>
      </c>
      <c r="S20" s="54">
        <v>4.2619999999999996</v>
      </c>
      <c r="T20" s="54">
        <v>2.4159999999999999</v>
      </c>
      <c r="U20" s="54">
        <v>5.1580000000000001E-2</v>
      </c>
      <c r="V20" s="54">
        <v>0.6149</v>
      </c>
      <c r="W20" s="54">
        <v>6.8580000000000004E-3</v>
      </c>
      <c r="X20" s="54">
        <v>2.5640000000000001</v>
      </c>
    </row>
    <row r="21" spans="1:28" x14ac:dyDescent="0.25">
      <c r="A21" s="49" t="s">
        <v>24</v>
      </c>
      <c r="B21" s="49" t="s">
        <v>82</v>
      </c>
      <c r="C21" s="50" t="s">
        <v>28</v>
      </c>
      <c r="D21" s="49">
        <v>15</v>
      </c>
      <c r="F21" s="50" t="s">
        <v>122</v>
      </c>
      <c r="H21" s="50" t="s">
        <v>100</v>
      </c>
      <c r="I21" s="50" t="s">
        <v>16</v>
      </c>
      <c r="J21" s="53" t="s">
        <v>54</v>
      </c>
      <c r="K21" s="54">
        <v>9.9369999999999997E-3</v>
      </c>
      <c r="L21" s="54">
        <v>1.7989999999999999</v>
      </c>
      <c r="N21" s="54">
        <v>2.3800000000000002E-2</v>
      </c>
      <c r="O21" s="54">
        <v>6.1070000000000002</v>
      </c>
      <c r="P21" s="54">
        <v>3.8580000000000001</v>
      </c>
      <c r="Q21" s="54">
        <v>0.29930000000000001</v>
      </c>
      <c r="R21" s="54">
        <v>1.4760000000000001E-3</v>
      </c>
      <c r="S21" s="54">
        <v>2.89</v>
      </c>
      <c r="T21" s="54">
        <v>1.8109999999999999</v>
      </c>
      <c r="U21" s="54">
        <v>3.422E-2</v>
      </c>
      <c r="V21" s="54">
        <v>0.42180000000000001</v>
      </c>
      <c r="W21" s="54">
        <v>1.077E-2</v>
      </c>
      <c r="X21" s="54">
        <v>2.1379999999999999</v>
      </c>
    </row>
    <row r="22" spans="1:28" x14ac:dyDescent="0.25">
      <c r="A22" s="49" t="s">
        <v>24</v>
      </c>
      <c r="B22" s="49" t="s">
        <v>82</v>
      </c>
      <c r="C22" s="50" t="s">
        <v>28</v>
      </c>
      <c r="D22" s="49">
        <v>15</v>
      </c>
      <c r="F22" s="50" t="s">
        <v>124</v>
      </c>
      <c r="H22" s="50" t="s">
        <v>100</v>
      </c>
      <c r="I22" s="50" t="s">
        <v>16</v>
      </c>
      <c r="J22" s="53" t="s">
        <v>55</v>
      </c>
      <c r="K22" s="54">
        <v>9.5849999999999998E-3</v>
      </c>
      <c r="L22" s="54">
        <v>1.591</v>
      </c>
      <c r="N22" s="54">
        <v>2.971E-2</v>
      </c>
      <c r="O22" s="54">
        <v>5.2</v>
      </c>
      <c r="P22" s="54">
        <v>3.8149999999999999</v>
      </c>
      <c r="Q22" s="54">
        <v>0.19689999999999999</v>
      </c>
      <c r="R22" s="54">
        <v>1.0579999999999999E-3</v>
      </c>
      <c r="S22" s="54">
        <v>3.492</v>
      </c>
      <c r="T22" s="54">
        <v>1.302</v>
      </c>
      <c r="U22" s="54">
        <v>4.5109999999999997E-2</v>
      </c>
      <c r="V22" s="54">
        <v>0.45200000000000001</v>
      </c>
      <c r="W22" s="54">
        <v>7.9979999999999999E-3</v>
      </c>
      <c r="X22" s="54">
        <v>2.4420000000000002</v>
      </c>
    </row>
    <row r="23" spans="1:28" x14ac:dyDescent="0.25">
      <c r="A23" s="49" t="s">
        <v>24</v>
      </c>
      <c r="B23" s="49" t="s">
        <v>82</v>
      </c>
      <c r="C23" s="50" t="s">
        <v>28</v>
      </c>
      <c r="D23" s="49">
        <v>16</v>
      </c>
      <c r="F23" s="50" t="s">
        <v>88</v>
      </c>
      <c r="H23" s="50" t="s">
        <v>27</v>
      </c>
      <c r="I23" s="50" t="s">
        <v>16</v>
      </c>
      <c r="J23" s="53" t="s">
        <v>56</v>
      </c>
      <c r="K23" s="54">
        <v>6.5139999999999998E-3</v>
      </c>
      <c r="L23" s="54">
        <v>1.585</v>
      </c>
      <c r="N23" s="54">
        <v>2.1190000000000001E-2</v>
      </c>
      <c r="O23" s="54">
        <v>11.48</v>
      </c>
      <c r="P23" s="54">
        <v>4.0359999999999996</v>
      </c>
      <c r="Q23" s="54">
        <v>0.35210000000000002</v>
      </c>
      <c r="R23" s="54">
        <v>2.1800000000000001E-3</v>
      </c>
      <c r="S23" s="54">
        <v>2.2440000000000002</v>
      </c>
      <c r="T23" s="54">
        <v>3.968</v>
      </c>
      <c r="U23" s="54">
        <v>2.1590000000000002E-2</v>
      </c>
      <c r="V23" s="54">
        <v>0.45500000000000002</v>
      </c>
      <c r="W23" s="54">
        <v>1.0880000000000001E-2</v>
      </c>
      <c r="X23" s="54">
        <v>2.423</v>
      </c>
    </row>
    <row r="24" spans="1:28" x14ac:dyDescent="0.25">
      <c r="A24" s="49" t="s">
        <v>24</v>
      </c>
      <c r="B24" s="49" t="s">
        <v>82</v>
      </c>
      <c r="C24" s="50" t="s">
        <v>28</v>
      </c>
      <c r="D24" s="49">
        <v>16</v>
      </c>
      <c r="F24" s="50" t="s">
        <v>90</v>
      </c>
      <c r="H24" s="50" t="s">
        <v>27</v>
      </c>
      <c r="I24" s="50" t="s">
        <v>16</v>
      </c>
      <c r="J24" s="53" t="s">
        <v>57</v>
      </c>
      <c r="K24" s="54">
        <v>6.3959999999999998E-3</v>
      </c>
      <c r="L24" s="54">
        <v>1.2789999999999999</v>
      </c>
      <c r="N24" s="54">
        <v>1.898E-2</v>
      </c>
      <c r="O24" s="54">
        <v>9.3829999999999991</v>
      </c>
      <c r="P24" s="54">
        <v>3.6589999999999998</v>
      </c>
      <c r="Q24" s="54">
        <v>0.28549999999999998</v>
      </c>
      <c r="R24" s="54">
        <v>1.768E-3</v>
      </c>
      <c r="S24" s="54">
        <v>1.163</v>
      </c>
      <c r="T24" s="54">
        <v>2.7869999999999999</v>
      </c>
      <c r="U24" s="54">
        <v>2.845E-2</v>
      </c>
      <c r="V24" s="54">
        <v>0.46610000000000001</v>
      </c>
      <c r="W24" s="54">
        <v>1.3860000000000001E-2</v>
      </c>
      <c r="X24" s="54">
        <v>2.2890000000000001</v>
      </c>
    </row>
    <row r="25" spans="1:28" x14ac:dyDescent="0.25">
      <c r="A25" s="49" t="s">
        <v>24</v>
      </c>
      <c r="B25" s="49" t="s">
        <v>82</v>
      </c>
      <c r="C25" s="50" t="s">
        <v>28</v>
      </c>
      <c r="D25" s="49">
        <v>16</v>
      </c>
      <c r="F25" s="50" t="s">
        <v>89</v>
      </c>
      <c r="H25" s="50" t="s">
        <v>27</v>
      </c>
      <c r="I25" s="50" t="s">
        <v>16</v>
      </c>
      <c r="J25" s="53" t="s">
        <v>58</v>
      </c>
      <c r="K25" s="54">
        <v>5.5570000000000003E-3</v>
      </c>
      <c r="L25" s="54">
        <v>2.1589999999999998</v>
      </c>
      <c r="N25" s="54">
        <v>2.1520000000000001E-2</v>
      </c>
      <c r="O25" s="54">
        <v>11.74</v>
      </c>
      <c r="P25" s="54">
        <v>4.54</v>
      </c>
      <c r="Q25" s="54">
        <v>0.373</v>
      </c>
      <c r="R25" s="54">
        <v>1.7650000000000001E-3</v>
      </c>
      <c r="S25" s="54">
        <v>2.464</v>
      </c>
      <c r="T25" s="54">
        <v>3.976</v>
      </c>
      <c r="U25" s="54">
        <v>2.1610000000000001E-2</v>
      </c>
      <c r="V25" s="54">
        <v>0.4501</v>
      </c>
      <c r="W25" s="54">
        <v>5.7190000000000001E-3</v>
      </c>
      <c r="X25" s="54">
        <v>2.6360000000000001</v>
      </c>
    </row>
    <row r="26" spans="1:28" x14ac:dyDescent="0.25">
      <c r="A26" s="49" t="s">
        <v>24</v>
      </c>
      <c r="B26" s="49" t="s">
        <v>82</v>
      </c>
      <c r="C26" s="50" t="s">
        <v>25</v>
      </c>
      <c r="D26" s="49">
        <v>17</v>
      </c>
      <c r="F26" s="50" t="s">
        <v>106</v>
      </c>
      <c r="H26" s="50" t="s">
        <v>97</v>
      </c>
      <c r="I26" s="50" t="s">
        <v>16</v>
      </c>
      <c r="J26" s="53" t="s">
        <v>59</v>
      </c>
      <c r="K26" s="54">
        <v>4.6319999999999998E-3</v>
      </c>
      <c r="L26" s="54">
        <v>2.0750000000000002</v>
      </c>
      <c r="N26" s="54">
        <v>1.6879999999999999E-2</v>
      </c>
      <c r="O26" s="54">
        <v>9.9640000000000004</v>
      </c>
      <c r="P26" s="54">
        <v>3.7240000000000002</v>
      </c>
      <c r="Q26" s="54">
        <v>0.28699999999999998</v>
      </c>
      <c r="R26" s="54">
        <v>1.6930000000000001E-3</v>
      </c>
      <c r="S26" s="54">
        <v>2.2170000000000001</v>
      </c>
      <c r="T26" s="54">
        <v>3.109</v>
      </c>
      <c r="U26" s="54">
        <v>4.7969999999999999E-2</v>
      </c>
      <c r="V26" s="54">
        <v>0.51590000000000003</v>
      </c>
      <c r="W26" s="54">
        <v>1.0200000000000001E-2</v>
      </c>
      <c r="X26" s="54">
        <v>2.694</v>
      </c>
    </row>
    <row r="27" spans="1:28" x14ac:dyDescent="0.25">
      <c r="A27" s="49" t="s">
        <v>24</v>
      </c>
      <c r="B27" s="49" t="s">
        <v>82</v>
      </c>
      <c r="C27" s="50" t="s">
        <v>25</v>
      </c>
      <c r="D27" s="49">
        <v>17</v>
      </c>
      <c r="F27" s="50" t="s">
        <v>103</v>
      </c>
      <c r="H27" s="50" t="s">
        <v>97</v>
      </c>
      <c r="I27" s="50" t="s">
        <v>16</v>
      </c>
      <c r="J27" s="53" t="s">
        <v>60</v>
      </c>
      <c r="K27" s="54">
        <v>3.2569999999999999E-3</v>
      </c>
      <c r="L27" s="54">
        <v>1.234</v>
      </c>
      <c r="N27" s="54">
        <v>1.6279999999999999E-2</v>
      </c>
      <c r="O27" s="54">
        <v>10.27</v>
      </c>
      <c r="P27" s="54">
        <v>3.2989999999999999</v>
      </c>
      <c r="Q27" s="54">
        <v>0.317</v>
      </c>
      <c r="R27" s="54">
        <v>1.7129999999999999E-3</v>
      </c>
      <c r="S27" s="54">
        <v>1.694</v>
      </c>
      <c r="T27" s="54">
        <v>3.2759999999999998</v>
      </c>
      <c r="U27" s="54">
        <v>3.5009999999999999E-2</v>
      </c>
      <c r="V27" s="54">
        <v>0.3916</v>
      </c>
      <c r="W27" s="54">
        <v>6.8510000000000003E-3</v>
      </c>
      <c r="X27" s="54">
        <v>2.137</v>
      </c>
    </row>
    <row r="28" spans="1:28" x14ac:dyDescent="0.25">
      <c r="A28" s="49" t="s">
        <v>24</v>
      </c>
      <c r="B28" s="49" t="s">
        <v>82</v>
      </c>
      <c r="C28" s="50" t="s">
        <v>25</v>
      </c>
      <c r="D28" s="49">
        <v>17</v>
      </c>
      <c r="F28" s="50" t="s">
        <v>105</v>
      </c>
      <c r="H28" s="50" t="s">
        <v>97</v>
      </c>
      <c r="I28" s="50" t="s">
        <v>16</v>
      </c>
      <c r="J28" s="53" t="s">
        <v>61</v>
      </c>
      <c r="K28" s="54">
        <v>5.2500000000000003E-3</v>
      </c>
      <c r="L28" s="54">
        <v>1.8180000000000001</v>
      </c>
      <c r="N28" s="54">
        <v>2.359E-2</v>
      </c>
      <c r="O28" s="54">
        <v>11.77</v>
      </c>
      <c r="P28" s="54">
        <v>4.57</v>
      </c>
      <c r="Q28" s="54">
        <v>0.37719999999999998</v>
      </c>
      <c r="R28" s="54">
        <v>2.4659999999999999E-3</v>
      </c>
      <c r="S28" s="54">
        <v>2.3530000000000002</v>
      </c>
      <c r="T28" s="54">
        <v>4.1779999999999999</v>
      </c>
      <c r="U28" s="54">
        <v>5.1119999999999999E-2</v>
      </c>
      <c r="V28" s="54">
        <v>0.63060000000000005</v>
      </c>
      <c r="W28" s="54">
        <v>7.2859999999999999E-3</v>
      </c>
      <c r="X28" s="54">
        <v>3.1440000000000001</v>
      </c>
    </row>
    <row r="29" spans="1:28" x14ac:dyDescent="0.25">
      <c r="A29" s="49" t="s">
        <v>24</v>
      </c>
      <c r="B29" s="49" t="s">
        <v>82</v>
      </c>
      <c r="C29" s="50" t="s">
        <v>25</v>
      </c>
      <c r="D29" s="49">
        <v>17</v>
      </c>
      <c r="F29" s="50" t="s">
        <v>104</v>
      </c>
      <c r="H29" s="50" t="s">
        <v>97</v>
      </c>
      <c r="I29" s="50" t="s">
        <v>16</v>
      </c>
      <c r="J29" s="53" t="s">
        <v>62</v>
      </c>
      <c r="K29" s="54">
        <v>5.378E-3</v>
      </c>
      <c r="L29" s="54">
        <v>1.0309999999999999</v>
      </c>
      <c r="N29" s="54">
        <v>1.9890000000000001E-2</v>
      </c>
      <c r="O29" s="54">
        <v>11.66</v>
      </c>
      <c r="P29" s="54">
        <v>4.0419999999999998</v>
      </c>
      <c r="Q29" s="54">
        <v>0.3327</v>
      </c>
      <c r="R29" s="54">
        <v>1.7489999999999999E-3</v>
      </c>
      <c r="S29" s="54">
        <v>2.012</v>
      </c>
      <c r="T29" s="54">
        <v>3.8460000000000001</v>
      </c>
      <c r="U29" s="54">
        <v>2.5409999999999999E-2</v>
      </c>
      <c r="V29" s="54">
        <v>0.49209999999999998</v>
      </c>
      <c r="W29" s="54">
        <v>9.8600000000000007E-3</v>
      </c>
      <c r="X29" s="54">
        <v>2.4929999999999999</v>
      </c>
    </row>
    <row r="30" spans="1:28" x14ac:dyDescent="0.25">
      <c r="A30" s="49" t="s">
        <v>24</v>
      </c>
      <c r="B30" s="49" t="s">
        <v>82</v>
      </c>
      <c r="C30" s="50" t="s">
        <v>25</v>
      </c>
      <c r="D30" s="49">
        <v>18</v>
      </c>
      <c r="F30" s="50" t="s">
        <v>95</v>
      </c>
      <c r="H30" s="50" t="s">
        <v>27</v>
      </c>
      <c r="I30" s="50" t="s">
        <v>16</v>
      </c>
      <c r="J30" s="53" t="s">
        <v>63</v>
      </c>
      <c r="K30" s="54">
        <v>6.5420000000000001E-3</v>
      </c>
      <c r="L30" s="54">
        <v>2.77</v>
      </c>
      <c r="N30" s="54">
        <v>4.052E-2</v>
      </c>
      <c r="O30" s="54">
        <v>21.63</v>
      </c>
      <c r="P30" s="54">
        <v>7.1970000000000001</v>
      </c>
      <c r="Q30" s="54">
        <v>0.52890000000000004</v>
      </c>
      <c r="R30" s="54">
        <v>2.3579999999999999E-3</v>
      </c>
      <c r="S30" s="54">
        <v>2.4900000000000002</v>
      </c>
      <c r="T30" s="54">
        <v>6.5670000000000002</v>
      </c>
      <c r="U30" s="54">
        <v>9.0770000000000003E-2</v>
      </c>
      <c r="V30" s="54">
        <v>0.90239999999999998</v>
      </c>
      <c r="W30" s="54">
        <v>1.2670000000000001E-2</v>
      </c>
      <c r="X30" s="54">
        <v>4.8559999999999999</v>
      </c>
      <c r="Y30" s="55"/>
      <c r="Z30" s="55"/>
      <c r="AA30" s="55"/>
      <c r="AB30" s="55"/>
    </row>
    <row r="31" spans="1:28" s="52" customFormat="1" x14ac:dyDescent="0.25">
      <c r="A31" s="49" t="s">
        <v>24</v>
      </c>
      <c r="B31" s="49" t="s">
        <v>82</v>
      </c>
      <c r="C31" s="50" t="s">
        <v>25</v>
      </c>
      <c r="D31" s="49">
        <v>18</v>
      </c>
      <c r="E31" s="51"/>
      <c r="F31" s="50" t="s">
        <v>93</v>
      </c>
      <c r="G31" s="51"/>
      <c r="H31" s="50" t="s">
        <v>27</v>
      </c>
      <c r="I31" s="50" t="s">
        <v>16</v>
      </c>
      <c r="J31" s="53" t="s">
        <v>64</v>
      </c>
      <c r="K31" s="54">
        <v>3.6059999999999998E-3</v>
      </c>
      <c r="L31" s="54">
        <v>1.2370000000000001</v>
      </c>
      <c r="M31" s="51"/>
      <c r="N31" s="54">
        <v>1.5310000000000001E-2</v>
      </c>
      <c r="O31" s="54">
        <v>11.17</v>
      </c>
      <c r="P31" s="54">
        <v>3.7090000000000001</v>
      </c>
      <c r="Q31" s="54">
        <v>0.34150000000000003</v>
      </c>
      <c r="R31" s="54">
        <v>1.586E-3</v>
      </c>
      <c r="S31" s="54">
        <v>0.85619999999999996</v>
      </c>
      <c r="T31" s="54">
        <v>3.9849999999999999</v>
      </c>
      <c r="U31" s="54">
        <v>3.0620000000000001E-2</v>
      </c>
      <c r="V31" s="54">
        <v>0.42359999999999998</v>
      </c>
      <c r="W31" s="54">
        <v>1.653E-2</v>
      </c>
      <c r="X31" s="54">
        <v>2.121</v>
      </c>
    </row>
    <row r="32" spans="1:28" s="52" customFormat="1" x14ac:dyDescent="0.25">
      <c r="A32" s="49" t="s">
        <v>24</v>
      </c>
      <c r="B32" s="49" t="s">
        <v>82</v>
      </c>
      <c r="C32" s="50" t="s">
        <v>25</v>
      </c>
      <c r="D32" s="49">
        <v>18</v>
      </c>
      <c r="E32" s="51"/>
      <c r="F32" s="50" t="s">
        <v>94</v>
      </c>
      <c r="G32" s="51"/>
      <c r="H32" s="50" t="s">
        <v>27</v>
      </c>
      <c r="I32" s="50" t="s">
        <v>16</v>
      </c>
      <c r="J32" s="53" t="s">
        <v>65</v>
      </c>
      <c r="K32" s="54">
        <v>4.2989999999999999E-3</v>
      </c>
      <c r="L32" s="54">
        <v>2.42</v>
      </c>
      <c r="M32" s="51"/>
      <c r="N32" s="54">
        <v>2.1659999999999999E-2</v>
      </c>
      <c r="O32" s="54">
        <v>14.38</v>
      </c>
      <c r="P32" s="54">
        <v>5.1639999999999997</v>
      </c>
      <c r="Q32" s="54">
        <v>0.44109999999999999</v>
      </c>
      <c r="R32" s="54">
        <v>1.805E-3</v>
      </c>
      <c r="S32" s="54">
        <v>2.1920000000000002</v>
      </c>
      <c r="T32" s="54">
        <v>5.0949999999999998</v>
      </c>
      <c r="U32" s="54">
        <v>5.2549999999999999E-2</v>
      </c>
      <c r="V32" s="54">
        <v>0.53359999999999996</v>
      </c>
      <c r="W32" s="54">
        <v>8.2730000000000008E-3</v>
      </c>
      <c r="X32" s="54">
        <v>3.4319999999999999</v>
      </c>
    </row>
    <row r="33" spans="1:24" s="52" customFormat="1" x14ac:dyDescent="0.25">
      <c r="A33" s="49" t="s">
        <v>24</v>
      </c>
      <c r="B33" s="49" t="s">
        <v>82</v>
      </c>
      <c r="C33" s="50" t="s">
        <v>25</v>
      </c>
      <c r="D33" s="49">
        <v>18</v>
      </c>
      <c r="E33" s="51"/>
      <c r="F33" s="50" t="s">
        <v>96</v>
      </c>
      <c r="G33" s="51"/>
      <c r="H33" s="50" t="s">
        <v>27</v>
      </c>
      <c r="I33" s="50" t="s">
        <v>16</v>
      </c>
      <c r="J33" s="53" t="s">
        <v>66</v>
      </c>
      <c r="K33" s="54">
        <v>4.3350000000000003E-3</v>
      </c>
      <c r="L33" s="54">
        <v>2.2450000000000001</v>
      </c>
      <c r="M33" s="51"/>
      <c r="N33" s="54">
        <v>2.2499999999999999E-2</v>
      </c>
      <c r="O33" s="54">
        <v>12.62</v>
      </c>
      <c r="P33" s="54">
        <v>4.8890000000000002</v>
      </c>
      <c r="Q33" s="54">
        <v>0.34470000000000001</v>
      </c>
      <c r="R33" s="54">
        <v>1.498E-3</v>
      </c>
      <c r="S33" s="54">
        <v>2.556</v>
      </c>
      <c r="T33" s="54">
        <v>4.758</v>
      </c>
      <c r="U33" s="54">
        <v>6.1210000000000001E-2</v>
      </c>
      <c r="V33" s="54">
        <v>0.55700000000000005</v>
      </c>
      <c r="W33" s="54">
        <v>6.1729999999999997E-3</v>
      </c>
      <c r="X33" s="54">
        <v>3.101</v>
      </c>
    </row>
    <row r="34" spans="1:24" s="52" customFormat="1" x14ac:dyDescent="0.25">
      <c r="A34" s="49" t="s">
        <v>24</v>
      </c>
      <c r="B34" s="49" t="s">
        <v>82</v>
      </c>
      <c r="C34" s="50" t="s">
        <v>25</v>
      </c>
      <c r="D34" s="49">
        <v>19</v>
      </c>
      <c r="F34" s="50" t="s">
        <v>114</v>
      </c>
      <c r="H34" s="50" t="s">
        <v>100</v>
      </c>
      <c r="I34" s="50" t="s">
        <v>16</v>
      </c>
      <c r="J34" s="53" t="s">
        <v>67</v>
      </c>
      <c r="K34" s="54">
        <v>7.136E-3</v>
      </c>
      <c r="L34" s="54">
        <v>1.5760000000000001</v>
      </c>
      <c r="M34" s="51"/>
      <c r="N34" s="54">
        <v>3.7920000000000002E-2</v>
      </c>
      <c r="O34" s="54">
        <v>8.2789999999999999</v>
      </c>
      <c r="P34" s="54">
        <v>4.774</v>
      </c>
      <c r="Q34" s="54">
        <v>0.28960000000000002</v>
      </c>
      <c r="R34" s="54">
        <v>1.3060000000000001E-3</v>
      </c>
      <c r="S34" s="54">
        <v>3.6419999999999999</v>
      </c>
      <c r="T34" s="54">
        <v>2.419</v>
      </c>
      <c r="U34" s="54">
        <v>7.331E-2</v>
      </c>
      <c r="V34" s="54">
        <v>0.4476</v>
      </c>
      <c r="W34" s="54">
        <v>3.5349999999999999E-3</v>
      </c>
      <c r="X34" s="54">
        <v>2.3050000000000002</v>
      </c>
    </row>
    <row r="35" spans="1:24" s="52" customFormat="1" x14ac:dyDescent="0.25">
      <c r="A35" s="49" t="s">
        <v>24</v>
      </c>
      <c r="B35" s="49" t="s">
        <v>82</v>
      </c>
      <c r="C35" s="50" t="s">
        <v>25</v>
      </c>
      <c r="D35" s="49">
        <v>19</v>
      </c>
      <c r="E35" s="51"/>
      <c r="F35" s="50" t="s">
        <v>119</v>
      </c>
      <c r="G35" s="51"/>
      <c r="H35" s="50" t="s">
        <v>100</v>
      </c>
      <c r="I35" s="50" t="s">
        <v>16</v>
      </c>
      <c r="J35" s="53" t="s">
        <v>68</v>
      </c>
      <c r="K35" s="54">
        <v>5.5409999999999999E-3</v>
      </c>
      <c r="L35" s="54">
        <v>3.153</v>
      </c>
      <c r="M35" s="51"/>
      <c r="N35" s="54">
        <v>3.107E-2</v>
      </c>
      <c r="O35" s="54">
        <v>8.0429999999999993</v>
      </c>
      <c r="P35" s="54">
        <v>4.6909999999999998</v>
      </c>
      <c r="Q35" s="54">
        <v>0.32529999999999998</v>
      </c>
      <c r="R35" s="54">
        <v>1.0870000000000001E-3</v>
      </c>
      <c r="S35" s="54">
        <v>3.7490000000000001</v>
      </c>
      <c r="T35" s="54">
        <v>3.15</v>
      </c>
      <c r="U35" s="54">
        <v>7.3620000000000005E-2</v>
      </c>
      <c r="V35" s="54">
        <v>0.47039999999999998</v>
      </c>
      <c r="W35" s="54">
        <v>8.9669999999999993E-3</v>
      </c>
      <c r="X35" s="54">
        <v>2.9140000000000001</v>
      </c>
    </row>
    <row r="36" spans="1:24" s="52" customFormat="1" x14ac:dyDescent="0.25">
      <c r="A36" s="49" t="s">
        <v>24</v>
      </c>
      <c r="B36" s="49" t="s">
        <v>82</v>
      </c>
      <c r="C36" s="50" t="s">
        <v>25</v>
      </c>
      <c r="D36" s="49">
        <v>19</v>
      </c>
      <c r="F36" s="50" t="s">
        <v>113</v>
      </c>
      <c r="H36" s="50" t="s">
        <v>100</v>
      </c>
      <c r="I36" s="50" t="s">
        <v>16</v>
      </c>
      <c r="J36" s="53" t="s">
        <v>69</v>
      </c>
      <c r="K36" s="54">
        <v>8.5030000000000001E-3</v>
      </c>
      <c r="L36" s="54">
        <v>1.921</v>
      </c>
      <c r="M36" s="51"/>
      <c r="N36" s="54">
        <v>1.8020000000000001E-2</v>
      </c>
      <c r="O36" s="54">
        <v>8.33</v>
      </c>
      <c r="P36" s="54">
        <v>4.5430000000000001</v>
      </c>
      <c r="Q36" s="54">
        <v>0.29330000000000001</v>
      </c>
      <c r="R36" s="54">
        <v>1.5200000000000001E-3</v>
      </c>
      <c r="S36" s="54">
        <v>2.27</v>
      </c>
      <c r="T36" s="54">
        <v>2.92</v>
      </c>
      <c r="U36" s="54">
        <v>2.5360000000000001E-2</v>
      </c>
      <c r="V36" s="54">
        <v>0.46050000000000002</v>
      </c>
      <c r="W36" s="54">
        <v>7.626E-3</v>
      </c>
      <c r="X36" s="54">
        <v>2.0539999999999998</v>
      </c>
    </row>
    <row r="37" spans="1:24" s="52" customFormat="1" x14ac:dyDescent="0.25">
      <c r="A37" s="49" t="s">
        <v>24</v>
      </c>
      <c r="B37" s="49" t="s">
        <v>82</v>
      </c>
      <c r="C37" s="50" t="s">
        <v>25</v>
      </c>
      <c r="D37" s="49">
        <v>19</v>
      </c>
      <c r="F37" s="50" t="s">
        <v>118</v>
      </c>
      <c r="G37" s="51"/>
      <c r="H37" s="50" t="s">
        <v>100</v>
      </c>
      <c r="I37" s="50" t="s">
        <v>16</v>
      </c>
      <c r="J37" s="53" t="s">
        <v>70</v>
      </c>
      <c r="K37" s="54">
        <v>4.1450000000000002E-3</v>
      </c>
      <c r="L37" s="54">
        <v>2.6579999999999999</v>
      </c>
      <c r="M37" s="51"/>
      <c r="N37" s="54">
        <v>1.4619999999999999E-2</v>
      </c>
      <c r="O37" s="54">
        <v>6.383</v>
      </c>
      <c r="P37" s="54">
        <v>3.5249999999999999</v>
      </c>
      <c r="Q37" s="54">
        <v>0.26429999999999998</v>
      </c>
      <c r="R37" s="54">
        <v>1.073E-3</v>
      </c>
      <c r="S37" s="54">
        <v>1.998</v>
      </c>
      <c r="T37" s="54">
        <v>2.6389999999999998</v>
      </c>
      <c r="U37" s="54">
        <v>3.2840000000000001E-2</v>
      </c>
      <c r="V37" s="54">
        <v>0.34210000000000002</v>
      </c>
      <c r="W37" s="54">
        <v>6.9610000000000002E-3</v>
      </c>
      <c r="X37" s="54">
        <v>2.2629999999999999</v>
      </c>
    </row>
    <row r="38" spans="1:24" s="52" customFormat="1" x14ac:dyDescent="0.25">
      <c r="A38" s="49" t="s">
        <v>24</v>
      </c>
      <c r="B38" s="49" t="s">
        <v>82</v>
      </c>
      <c r="C38" s="50" t="s">
        <v>25</v>
      </c>
      <c r="D38" s="49">
        <v>19</v>
      </c>
      <c r="F38" s="50" t="s">
        <v>115</v>
      </c>
      <c r="H38" s="50" t="s">
        <v>100</v>
      </c>
      <c r="I38" s="50" t="s">
        <v>16</v>
      </c>
      <c r="J38" s="53" t="s">
        <v>71</v>
      </c>
      <c r="K38" s="54">
        <v>1.1169999999999999E-2</v>
      </c>
      <c r="L38" s="54">
        <v>2.5299999999999998</v>
      </c>
      <c r="M38" s="51"/>
      <c r="N38" s="54">
        <v>3.6819999999999999E-2</v>
      </c>
      <c r="O38" s="54">
        <v>8.0359999999999996</v>
      </c>
      <c r="P38" s="54">
        <v>4.5940000000000003</v>
      </c>
      <c r="Q38" s="54">
        <v>0.7349</v>
      </c>
      <c r="R38" s="54">
        <v>2.4489999999999998E-3</v>
      </c>
      <c r="S38" s="54">
        <v>2.7280000000000002</v>
      </c>
      <c r="T38" s="54">
        <v>2.1850000000000001</v>
      </c>
      <c r="U38" s="54">
        <v>5.6930000000000001E-2</v>
      </c>
      <c r="V38" s="54">
        <v>0.92889999999999995</v>
      </c>
      <c r="W38" s="54">
        <v>7.9810000000000002E-3</v>
      </c>
      <c r="X38" s="54">
        <v>1.698</v>
      </c>
    </row>
    <row r="39" spans="1:24" s="52" customFormat="1" x14ac:dyDescent="0.25">
      <c r="A39" s="49" t="s">
        <v>24</v>
      </c>
      <c r="B39" s="49" t="s">
        <v>82</v>
      </c>
      <c r="C39" s="50" t="s">
        <v>28</v>
      </c>
      <c r="D39" s="49">
        <v>20</v>
      </c>
      <c r="E39" s="51"/>
      <c r="F39" s="50" t="s">
        <v>99</v>
      </c>
      <c r="G39" s="51"/>
      <c r="H39" s="50" t="s">
        <v>97</v>
      </c>
      <c r="I39" s="50" t="s">
        <v>16</v>
      </c>
      <c r="J39" s="53" t="s">
        <v>72</v>
      </c>
      <c r="K39" s="54">
        <v>3.6329999999999999E-3</v>
      </c>
      <c r="L39" s="54">
        <v>2.72</v>
      </c>
      <c r="M39" s="51"/>
      <c r="N39" s="54">
        <v>3.1099999999999999E-2</v>
      </c>
      <c r="O39" s="54">
        <v>6.9660000000000002</v>
      </c>
      <c r="P39" s="54">
        <v>3.7970000000000002</v>
      </c>
      <c r="Q39" s="54">
        <v>0.25679999999999997</v>
      </c>
      <c r="R39" s="54">
        <v>1.4430000000000001E-3</v>
      </c>
      <c r="S39" s="54">
        <v>3.5379999999999998</v>
      </c>
      <c r="T39" s="54">
        <v>0.95720000000000005</v>
      </c>
      <c r="U39" s="54">
        <v>4.3729999999999998E-2</v>
      </c>
      <c r="V39" s="54">
        <v>0.46229999999999999</v>
      </c>
      <c r="W39" s="54">
        <v>2.5490000000000001E-3</v>
      </c>
      <c r="X39" s="54">
        <v>2.2469999999999999</v>
      </c>
    </row>
    <row r="40" spans="1:24" s="52" customFormat="1" x14ac:dyDescent="0.25">
      <c r="A40" s="49" t="s">
        <v>24</v>
      </c>
      <c r="B40" s="49" t="s">
        <v>82</v>
      </c>
      <c r="C40" s="50" t="s">
        <v>28</v>
      </c>
      <c r="D40" s="49">
        <v>20</v>
      </c>
      <c r="E40" s="51"/>
      <c r="F40" s="50" t="s">
        <v>98</v>
      </c>
      <c r="G40" s="51"/>
      <c r="H40" s="50" t="s">
        <v>97</v>
      </c>
      <c r="I40" s="50" t="s">
        <v>16</v>
      </c>
      <c r="J40" s="53" t="s">
        <v>73</v>
      </c>
      <c r="K40" s="54">
        <v>4.2050000000000004E-3</v>
      </c>
      <c r="L40" s="54">
        <v>1.43</v>
      </c>
      <c r="M40" s="51"/>
      <c r="N40" s="54">
        <v>1.193E-2</v>
      </c>
      <c r="O40" s="54">
        <v>7.1020000000000003</v>
      </c>
      <c r="P40" s="54">
        <v>3.206</v>
      </c>
      <c r="Q40" s="54">
        <v>0.22270000000000001</v>
      </c>
      <c r="R40" s="54">
        <v>1.578E-3</v>
      </c>
      <c r="S40" s="54">
        <v>1.554</v>
      </c>
      <c r="T40" s="54">
        <v>2.0720000000000001</v>
      </c>
      <c r="U40" s="54">
        <v>1.7819999999999999E-2</v>
      </c>
      <c r="V40" s="54">
        <v>0.37219999999999998</v>
      </c>
      <c r="W40" s="54">
        <v>5.1630000000000001E-3</v>
      </c>
      <c r="X40" s="54">
        <v>1.9119999999999999</v>
      </c>
    </row>
    <row r="41" spans="1:24" x14ac:dyDescent="0.25">
      <c r="A41" s="49" t="s">
        <v>24</v>
      </c>
      <c r="B41" s="49" t="s">
        <v>82</v>
      </c>
      <c r="C41" s="50" t="s">
        <v>28</v>
      </c>
      <c r="D41" s="49">
        <v>21</v>
      </c>
      <c r="F41" s="50" t="s">
        <v>86</v>
      </c>
      <c r="H41" s="50" t="s">
        <v>26</v>
      </c>
      <c r="I41" s="50" t="s">
        <v>16</v>
      </c>
      <c r="J41" s="53" t="s">
        <v>74</v>
      </c>
      <c r="K41" s="54">
        <v>5.2610000000000001E-3</v>
      </c>
      <c r="L41" s="54">
        <v>1.9810000000000001</v>
      </c>
      <c r="N41" s="54">
        <v>2.077E-2</v>
      </c>
      <c r="O41" s="54">
        <v>8.1929999999999996</v>
      </c>
      <c r="P41" s="54">
        <v>3.4830000000000001</v>
      </c>
      <c r="Q41" s="54">
        <v>0.55289999999999995</v>
      </c>
      <c r="R41" s="54">
        <v>1.5089999999999999E-3</v>
      </c>
      <c r="S41" s="54">
        <v>1.99</v>
      </c>
      <c r="T41" s="54">
        <v>2.8109999999999999</v>
      </c>
      <c r="U41" s="54">
        <v>3.576E-2</v>
      </c>
      <c r="V41" s="54">
        <v>0.55359999999999998</v>
      </c>
      <c r="W41" s="54">
        <v>1.1610000000000001E-2</v>
      </c>
      <c r="X41" s="54">
        <v>2.8439999999999999</v>
      </c>
    </row>
    <row r="42" spans="1:24" x14ac:dyDescent="0.25">
      <c r="A42" s="49" t="s">
        <v>24</v>
      </c>
      <c r="B42" s="49" t="s">
        <v>82</v>
      </c>
      <c r="C42" s="50" t="s">
        <v>28</v>
      </c>
      <c r="D42" s="49">
        <v>21</v>
      </c>
      <c r="F42" s="50" t="s">
        <v>92</v>
      </c>
      <c r="H42" s="50" t="s">
        <v>26</v>
      </c>
      <c r="I42" s="50" t="s">
        <v>16</v>
      </c>
      <c r="J42" s="53" t="s">
        <v>75</v>
      </c>
      <c r="K42" s="54">
        <v>8.2649999999999998E-3</v>
      </c>
      <c r="L42" s="54">
        <v>2.1440000000000001</v>
      </c>
      <c r="N42" s="54">
        <v>2.5530000000000001E-2</v>
      </c>
      <c r="O42" s="54">
        <v>12.78</v>
      </c>
      <c r="P42" s="54">
        <v>4.6340000000000003</v>
      </c>
      <c r="Q42" s="54">
        <v>0.3095</v>
      </c>
      <c r="R42" s="54">
        <v>1.8910000000000001E-3</v>
      </c>
      <c r="S42" s="54">
        <v>2.2850000000000001</v>
      </c>
      <c r="T42" s="54">
        <v>3.2029999999999998</v>
      </c>
      <c r="U42" s="54">
        <v>1.9689999999999999E-2</v>
      </c>
      <c r="V42" s="54">
        <v>0.51490000000000002</v>
      </c>
      <c r="W42" s="54">
        <v>1.213E-2</v>
      </c>
      <c r="X42" s="54">
        <v>3.59</v>
      </c>
    </row>
    <row r="43" spans="1:24" x14ac:dyDescent="0.25">
      <c r="A43" s="49" t="s">
        <v>24</v>
      </c>
      <c r="B43" s="49" t="s">
        <v>82</v>
      </c>
      <c r="C43" s="50" t="s">
        <v>28</v>
      </c>
      <c r="D43" s="49">
        <v>21</v>
      </c>
      <c r="F43" s="50" t="s">
        <v>91</v>
      </c>
      <c r="H43" s="50" t="s">
        <v>26</v>
      </c>
      <c r="I43" s="50" t="s">
        <v>16</v>
      </c>
      <c r="J43" s="53" t="s">
        <v>76</v>
      </c>
      <c r="K43" s="54">
        <v>4.9300000000000004E-3</v>
      </c>
      <c r="L43" s="54">
        <v>2.202</v>
      </c>
      <c r="N43" s="54">
        <v>1.225E-2</v>
      </c>
      <c r="O43" s="54">
        <v>12.23</v>
      </c>
      <c r="P43" s="54">
        <v>4.0209999999999999</v>
      </c>
      <c r="Q43" s="54">
        <v>0.29730000000000001</v>
      </c>
      <c r="R43" s="54">
        <v>1.0690000000000001E-3</v>
      </c>
      <c r="S43" s="54">
        <v>1.4019999999999999</v>
      </c>
      <c r="T43" s="54">
        <v>3.8170000000000002</v>
      </c>
      <c r="U43" s="54">
        <v>3.2289999999999999E-2</v>
      </c>
      <c r="V43" s="54">
        <v>0.46989999999999998</v>
      </c>
      <c r="W43" s="54">
        <v>1.213E-2</v>
      </c>
      <c r="X43" s="54">
        <v>3.052</v>
      </c>
    </row>
    <row r="44" spans="1:24" x14ac:dyDescent="0.25">
      <c r="A44" s="49" t="s">
        <v>24</v>
      </c>
      <c r="B44" s="49" t="s">
        <v>82</v>
      </c>
      <c r="C44" s="50" t="s">
        <v>28</v>
      </c>
      <c r="D44" s="49">
        <v>21</v>
      </c>
      <c r="F44" s="50" t="s">
        <v>87</v>
      </c>
      <c r="H44" s="50" t="s">
        <v>26</v>
      </c>
      <c r="I44" s="50" t="s">
        <v>16</v>
      </c>
      <c r="J44" s="53" t="s">
        <v>77</v>
      </c>
      <c r="K44" s="54">
        <v>4.8279999999999998E-3</v>
      </c>
      <c r="L44" s="54">
        <v>3.5030000000000001</v>
      </c>
      <c r="N44" s="54">
        <v>2.7910000000000001E-2</v>
      </c>
      <c r="O44" s="54">
        <v>12.58</v>
      </c>
      <c r="P44" s="54">
        <v>4.7910000000000004</v>
      </c>
      <c r="Q44" s="54">
        <v>0.42149999999999999</v>
      </c>
      <c r="R44" s="54">
        <v>1.0200000000000001E-3</v>
      </c>
      <c r="S44" s="54">
        <v>2.6469999999999998</v>
      </c>
      <c r="T44" s="54">
        <v>4.2679999999999998</v>
      </c>
      <c r="U44" s="54">
        <v>2.8809999999999999E-2</v>
      </c>
      <c r="V44" s="54">
        <v>0.48809999999999998</v>
      </c>
      <c r="W44" s="54">
        <v>9.4310000000000001E-3</v>
      </c>
      <c r="X44" s="54">
        <v>2.6680000000000001</v>
      </c>
    </row>
    <row r="45" spans="1:24" x14ac:dyDescent="0.25">
      <c r="A45" s="49" t="s">
        <v>24</v>
      </c>
      <c r="B45" s="49" t="s">
        <v>82</v>
      </c>
      <c r="C45" s="50" t="s">
        <v>28</v>
      </c>
      <c r="D45" s="49">
        <v>10</v>
      </c>
      <c r="F45" s="50" t="s">
        <v>125</v>
      </c>
      <c r="H45" s="50" t="s">
        <v>100</v>
      </c>
      <c r="I45" s="50" t="s">
        <v>31</v>
      </c>
      <c r="J45" s="53" t="s">
        <v>34</v>
      </c>
      <c r="K45" s="54">
        <v>4.7349999999999996E-3</v>
      </c>
      <c r="L45" s="54">
        <v>2.9060000000000001</v>
      </c>
      <c r="M45" s="56" t="s">
        <v>35</v>
      </c>
      <c r="N45" s="54">
        <v>8.2529999999999999E-3</v>
      </c>
      <c r="O45" s="54">
        <v>10.28</v>
      </c>
      <c r="P45" s="54">
        <v>5.1280000000000001</v>
      </c>
      <c r="Q45" s="54">
        <v>0.35420000000000001</v>
      </c>
      <c r="R45" s="54">
        <v>1.6459999999999999E-3</v>
      </c>
      <c r="S45" s="54">
        <v>4.6559999999999997</v>
      </c>
      <c r="T45" s="54">
        <v>2.1680000000000001</v>
      </c>
      <c r="U45" s="54">
        <v>5.3629999999999997E-2</v>
      </c>
      <c r="V45" s="54">
        <v>0.50509999999999999</v>
      </c>
      <c r="W45" s="57" t="s">
        <v>35</v>
      </c>
      <c r="X45" s="54">
        <v>1.2549999999999999</v>
      </c>
    </row>
    <row r="46" spans="1:24" x14ac:dyDescent="0.25">
      <c r="A46" s="49" t="s">
        <v>24</v>
      </c>
      <c r="B46" s="49" t="s">
        <v>82</v>
      </c>
      <c r="C46" s="50" t="s">
        <v>28</v>
      </c>
      <c r="D46" s="49">
        <v>10</v>
      </c>
      <c r="E46" s="52"/>
      <c r="F46" s="50" t="s">
        <v>116</v>
      </c>
      <c r="G46" s="52"/>
      <c r="H46" s="50" t="s">
        <v>100</v>
      </c>
      <c r="I46" s="50" t="s">
        <v>31</v>
      </c>
      <c r="J46" s="53" t="s">
        <v>36</v>
      </c>
      <c r="K46" s="54">
        <v>6.1640000000000002E-3</v>
      </c>
      <c r="L46" s="54">
        <v>2.0609999999999999</v>
      </c>
      <c r="M46" s="56"/>
      <c r="N46" s="54">
        <v>2.503E-2</v>
      </c>
      <c r="O46" s="54">
        <v>9.4909999999999997</v>
      </c>
      <c r="P46" s="54">
        <v>5.31</v>
      </c>
      <c r="Q46" s="54">
        <v>0.31090000000000001</v>
      </c>
      <c r="R46" s="54">
        <v>1.261E-3</v>
      </c>
      <c r="S46" s="54">
        <v>5.35</v>
      </c>
      <c r="T46" s="54">
        <v>1.9330000000000001</v>
      </c>
      <c r="U46" s="54">
        <v>2.4369999999999999E-2</v>
      </c>
      <c r="V46" s="54">
        <v>0.4335</v>
      </c>
      <c r="W46" s="54">
        <v>1.023E-2</v>
      </c>
      <c r="X46" s="54">
        <v>2.5619999999999998</v>
      </c>
    </row>
    <row r="47" spans="1:24" x14ac:dyDescent="0.25">
      <c r="A47" s="49" t="s">
        <v>24</v>
      </c>
      <c r="B47" s="49" t="s">
        <v>82</v>
      </c>
      <c r="C47" s="50" t="s">
        <v>28</v>
      </c>
      <c r="D47" s="49">
        <v>10</v>
      </c>
      <c r="E47" s="52"/>
      <c r="F47" s="50" t="s">
        <v>117</v>
      </c>
      <c r="G47" s="52"/>
      <c r="H47" s="50" t="s">
        <v>100</v>
      </c>
      <c r="I47" s="50" t="s">
        <v>31</v>
      </c>
      <c r="J47" s="53" t="s">
        <v>37</v>
      </c>
      <c r="K47" s="54">
        <v>7.6270000000000001E-3</v>
      </c>
      <c r="L47" s="54">
        <v>1.6339999999999999</v>
      </c>
      <c r="M47" s="56"/>
      <c r="N47" s="54">
        <v>9.4939999999999997E-2</v>
      </c>
      <c r="O47" s="54">
        <v>10.81</v>
      </c>
      <c r="P47" s="54">
        <v>5.8070000000000004</v>
      </c>
      <c r="Q47" s="54">
        <v>0.34320000000000001</v>
      </c>
      <c r="R47" s="54">
        <v>1.761E-3</v>
      </c>
      <c r="S47" s="54">
        <v>5.1740000000000004</v>
      </c>
      <c r="T47" s="54">
        <v>2.3889999999999998</v>
      </c>
      <c r="U47" s="54">
        <v>4.9579999999999999E-2</v>
      </c>
      <c r="V47" s="54">
        <v>0.3639</v>
      </c>
      <c r="W47" s="54">
        <v>9.4190000000000003E-3</v>
      </c>
      <c r="X47" s="54">
        <v>2.629</v>
      </c>
    </row>
    <row r="48" spans="1:24" x14ac:dyDescent="0.25">
      <c r="A48" s="49" t="s">
        <v>24</v>
      </c>
      <c r="B48" s="49" t="s">
        <v>82</v>
      </c>
      <c r="C48" s="50" t="s">
        <v>28</v>
      </c>
      <c r="D48" s="49">
        <v>10</v>
      </c>
      <c r="F48" s="50" t="s">
        <v>127</v>
      </c>
      <c r="H48" s="50" t="s">
        <v>100</v>
      </c>
      <c r="I48" s="50" t="s">
        <v>31</v>
      </c>
      <c r="J48" s="53" t="s">
        <v>38</v>
      </c>
      <c r="K48" s="54">
        <v>5.829E-3</v>
      </c>
      <c r="L48" s="54">
        <v>2.2269999999999999</v>
      </c>
      <c r="M48" s="56"/>
      <c r="N48" s="54">
        <v>1.2500000000000001E-2</v>
      </c>
      <c r="O48" s="54">
        <v>8.7949999999999999</v>
      </c>
      <c r="P48" s="54">
        <v>4.7569999999999997</v>
      </c>
      <c r="Q48" s="54">
        <v>0.3372</v>
      </c>
      <c r="R48" s="54">
        <v>1.6930000000000001E-3</v>
      </c>
      <c r="S48" s="54">
        <v>4.6479999999999997</v>
      </c>
      <c r="T48" s="54">
        <v>1.9419999999999999</v>
      </c>
      <c r="U48" s="54">
        <v>4.299E-2</v>
      </c>
      <c r="V48" s="54">
        <v>0.56120000000000003</v>
      </c>
      <c r="W48" s="54">
        <v>1.611E-3</v>
      </c>
      <c r="X48" s="54">
        <v>2.165</v>
      </c>
    </row>
    <row r="49" spans="1:29" x14ac:dyDescent="0.25">
      <c r="A49" s="49" t="s">
        <v>24</v>
      </c>
      <c r="B49" s="49" t="s">
        <v>82</v>
      </c>
      <c r="C49" s="50" t="s">
        <v>28</v>
      </c>
      <c r="D49" s="49">
        <v>10</v>
      </c>
      <c r="F49" s="50" t="s">
        <v>126</v>
      </c>
      <c r="H49" s="50" t="s">
        <v>100</v>
      </c>
      <c r="I49" s="50" t="s">
        <v>31</v>
      </c>
      <c r="J49" s="53" t="s">
        <v>39</v>
      </c>
      <c r="K49" s="54">
        <v>4.5820000000000001E-3</v>
      </c>
      <c r="L49" s="54">
        <v>2.1859999999999999</v>
      </c>
      <c r="M49" s="56"/>
      <c r="N49" s="54">
        <v>1.2999999999999999E-2</v>
      </c>
      <c r="O49" s="54">
        <v>7.9420000000000002</v>
      </c>
      <c r="P49" s="54">
        <v>4.5369999999999999</v>
      </c>
      <c r="Q49" s="54">
        <v>0.2883</v>
      </c>
      <c r="R49" s="54">
        <v>1.235E-3</v>
      </c>
      <c r="S49" s="54">
        <v>4.2009999999999996</v>
      </c>
      <c r="T49" s="54">
        <v>2.0449999999999999</v>
      </c>
      <c r="U49" s="54">
        <v>4.8930000000000001E-2</v>
      </c>
      <c r="V49" s="54">
        <v>0.37840000000000001</v>
      </c>
      <c r="W49" s="54">
        <v>1.094E-2</v>
      </c>
      <c r="X49" s="54">
        <v>2.6909999999999998</v>
      </c>
    </row>
    <row r="50" spans="1:29" x14ac:dyDescent="0.25">
      <c r="A50" s="49" t="s">
        <v>24</v>
      </c>
      <c r="B50" s="49" t="s">
        <v>82</v>
      </c>
      <c r="C50" s="50" t="s">
        <v>28</v>
      </c>
      <c r="D50" s="49">
        <v>11</v>
      </c>
      <c r="F50" s="50" t="s">
        <v>84</v>
      </c>
      <c r="H50" s="50" t="s">
        <v>26</v>
      </c>
      <c r="I50" s="50" t="s">
        <v>31</v>
      </c>
      <c r="J50" s="53" t="s">
        <v>40</v>
      </c>
      <c r="K50" s="54">
        <v>4.4209999999999996E-3</v>
      </c>
      <c r="L50" s="54">
        <v>3.798</v>
      </c>
      <c r="M50" s="56"/>
      <c r="N50" s="54">
        <v>1.1820000000000001E-2</v>
      </c>
      <c r="O50" s="54">
        <v>8.8889999999999993</v>
      </c>
      <c r="P50" s="54">
        <v>3.7519999999999998</v>
      </c>
      <c r="Q50" s="54">
        <v>0.33119999999999999</v>
      </c>
      <c r="R50" s="54">
        <v>1.4519999999999999E-3</v>
      </c>
      <c r="S50" s="54">
        <v>4.0250000000000004</v>
      </c>
      <c r="T50" s="54">
        <v>2.57</v>
      </c>
      <c r="U50" s="54">
        <v>2.3089999999999999E-2</v>
      </c>
      <c r="V50" s="54">
        <v>0.52159999999999995</v>
      </c>
      <c r="W50" s="54">
        <v>4.7840000000000001E-3</v>
      </c>
      <c r="X50" s="54">
        <v>2.597</v>
      </c>
      <c r="Y50" s="55"/>
      <c r="Z50" s="55"/>
      <c r="AA50" s="55"/>
      <c r="AB50" s="55"/>
    </row>
    <row r="51" spans="1:29" x14ac:dyDescent="0.25">
      <c r="A51" s="49" t="s">
        <v>24</v>
      </c>
      <c r="B51" s="49" t="s">
        <v>82</v>
      </c>
      <c r="C51" s="50" t="s">
        <v>28</v>
      </c>
      <c r="D51" s="49">
        <v>11</v>
      </c>
      <c r="F51" s="50" t="s">
        <v>83</v>
      </c>
      <c r="H51" s="50" t="s">
        <v>26</v>
      </c>
      <c r="I51" s="50" t="s">
        <v>31</v>
      </c>
      <c r="J51" s="53" t="s">
        <v>41</v>
      </c>
      <c r="K51" s="54">
        <v>5.0790000000000002E-3</v>
      </c>
      <c r="L51" s="54">
        <v>2.96</v>
      </c>
      <c r="M51" s="56"/>
      <c r="N51" s="54">
        <v>1.2019999999999999E-2</v>
      </c>
      <c r="O51" s="54">
        <v>8.6219999999999999</v>
      </c>
      <c r="P51" s="54">
        <v>4.0780000000000003</v>
      </c>
      <c r="Q51" s="54">
        <v>0.40210000000000001</v>
      </c>
      <c r="R51" s="54">
        <v>1.7600000000000001E-3</v>
      </c>
      <c r="S51" s="54">
        <v>5.3479999999999999</v>
      </c>
      <c r="T51" s="54">
        <v>2.6040000000000001</v>
      </c>
      <c r="U51" s="54">
        <v>3.6799999999999999E-2</v>
      </c>
      <c r="V51" s="54">
        <v>0.46860000000000002</v>
      </c>
      <c r="W51" s="54">
        <v>3.2820000000000002E-3</v>
      </c>
      <c r="X51" s="54">
        <v>2.2949999999999999</v>
      </c>
      <c r="Y51" s="55"/>
      <c r="Z51" s="55"/>
      <c r="AA51" s="55"/>
      <c r="AB51" s="55"/>
    </row>
    <row r="52" spans="1:29" x14ac:dyDescent="0.25">
      <c r="A52" s="49" t="s">
        <v>24</v>
      </c>
      <c r="B52" s="49" t="s">
        <v>82</v>
      </c>
      <c r="C52" s="50" t="s">
        <v>28</v>
      </c>
      <c r="D52" s="49">
        <v>11</v>
      </c>
      <c r="F52" s="50" t="s">
        <v>85</v>
      </c>
      <c r="H52" s="50" t="s">
        <v>26</v>
      </c>
      <c r="I52" s="50" t="s">
        <v>31</v>
      </c>
      <c r="J52" s="53" t="s">
        <v>42</v>
      </c>
      <c r="K52" s="54">
        <v>7.208E-3</v>
      </c>
      <c r="L52" s="54">
        <v>2.6920000000000002</v>
      </c>
      <c r="M52" s="56"/>
      <c r="N52" s="54">
        <v>1.431E-2</v>
      </c>
      <c r="O52" s="54">
        <v>9.9079999999999995</v>
      </c>
      <c r="P52" s="54">
        <v>4.0739999999999998</v>
      </c>
      <c r="Q52" s="54">
        <v>0.34499999999999997</v>
      </c>
      <c r="R52" s="54">
        <v>2.3349999999999998E-3</v>
      </c>
      <c r="S52" s="54">
        <v>3.8730000000000002</v>
      </c>
      <c r="T52" s="54">
        <v>2.0939999999999999</v>
      </c>
      <c r="U52" s="54">
        <v>4.437E-2</v>
      </c>
      <c r="V52" s="54">
        <v>0.6371</v>
      </c>
      <c r="W52" s="54">
        <v>6.0870000000000004E-3</v>
      </c>
      <c r="X52" s="54">
        <v>2.6789999999999998</v>
      </c>
      <c r="AB52" s="58"/>
    </row>
    <row r="53" spans="1:29" x14ac:dyDescent="0.25">
      <c r="A53" s="49" t="s">
        <v>24</v>
      </c>
      <c r="B53" s="49" t="s">
        <v>82</v>
      </c>
      <c r="C53" s="50" t="s">
        <v>28</v>
      </c>
      <c r="D53" s="49">
        <v>11</v>
      </c>
      <c r="F53" s="50" t="s">
        <v>120</v>
      </c>
      <c r="H53" s="50" t="s">
        <v>100</v>
      </c>
      <c r="I53" s="50" t="s">
        <v>31</v>
      </c>
      <c r="J53" s="53" t="s">
        <v>43</v>
      </c>
      <c r="K53" s="54">
        <v>7.979E-3</v>
      </c>
      <c r="L53" s="54">
        <v>2.4870000000000001</v>
      </c>
      <c r="M53" s="56"/>
      <c r="N53" s="54">
        <v>1.0030000000000001E-2</v>
      </c>
      <c r="O53" s="54">
        <v>8.6310000000000002</v>
      </c>
      <c r="P53" s="54">
        <v>5.2839999999999998</v>
      </c>
      <c r="Q53" s="54">
        <v>0.33410000000000001</v>
      </c>
      <c r="R53" s="54">
        <v>1.748E-3</v>
      </c>
      <c r="S53" s="54">
        <v>4.9210000000000003</v>
      </c>
      <c r="T53" s="54">
        <v>1.7490000000000001</v>
      </c>
      <c r="U53" s="54">
        <v>4.5839999999999999E-2</v>
      </c>
      <c r="V53" s="54">
        <v>0.45760000000000001</v>
      </c>
      <c r="W53" s="54">
        <v>3.5000000000000001E-3</v>
      </c>
      <c r="X53" s="54">
        <v>2.0139999999999998</v>
      </c>
      <c r="AB53" s="58"/>
    </row>
    <row r="54" spans="1:29" x14ac:dyDescent="0.25">
      <c r="A54" s="49" t="s">
        <v>24</v>
      </c>
      <c r="B54" s="49" t="s">
        <v>82</v>
      </c>
      <c r="C54" s="50" t="s">
        <v>28</v>
      </c>
      <c r="D54" s="49">
        <v>11</v>
      </c>
      <c r="F54" s="50" t="s">
        <v>121</v>
      </c>
      <c r="H54" s="50" t="s">
        <v>100</v>
      </c>
      <c r="I54" s="50" t="s">
        <v>31</v>
      </c>
      <c r="J54" s="53" t="s">
        <v>44</v>
      </c>
      <c r="K54" s="54">
        <v>5.463E-3</v>
      </c>
      <c r="L54" s="54">
        <v>1.9790000000000001</v>
      </c>
      <c r="M54" s="56"/>
      <c r="N54" s="54">
        <v>1.2959999999999999E-2</v>
      </c>
      <c r="O54" s="54">
        <v>7.9729999999999999</v>
      </c>
      <c r="P54" s="54">
        <v>5.5579999999999998</v>
      </c>
      <c r="Q54" s="54">
        <v>0.28820000000000001</v>
      </c>
      <c r="R54" s="54">
        <v>1.6659999999999999E-3</v>
      </c>
      <c r="S54" s="54">
        <v>4.4279999999999999</v>
      </c>
      <c r="T54" s="54">
        <v>1.8149999999999999</v>
      </c>
      <c r="U54" s="54">
        <v>5.688E-2</v>
      </c>
      <c r="V54" s="54">
        <v>0.34360000000000002</v>
      </c>
      <c r="W54" s="54">
        <v>1.2529999999999999E-2</v>
      </c>
      <c r="X54" s="54">
        <v>2.456</v>
      </c>
      <c r="AB54" s="58"/>
    </row>
    <row r="55" spans="1:29" x14ac:dyDescent="0.25">
      <c r="A55" s="49" t="s">
        <v>24</v>
      </c>
      <c r="B55" s="49" t="s">
        <v>82</v>
      </c>
      <c r="C55" s="50" t="s">
        <v>28</v>
      </c>
      <c r="D55" s="49">
        <v>12</v>
      </c>
      <c r="E55" s="52"/>
      <c r="F55" s="50" t="s">
        <v>112</v>
      </c>
      <c r="H55" s="50" t="s">
        <v>97</v>
      </c>
      <c r="I55" s="50" t="s">
        <v>31</v>
      </c>
      <c r="J55" s="53" t="s">
        <v>45</v>
      </c>
      <c r="K55" s="54">
        <v>8.3979999999999992E-3</v>
      </c>
      <c r="L55" s="54">
        <v>1.7549999999999999</v>
      </c>
      <c r="M55" s="56"/>
      <c r="N55" s="54">
        <v>1.3860000000000001E-2</v>
      </c>
      <c r="O55" s="54">
        <v>8.516</v>
      </c>
      <c r="P55" s="54">
        <v>5.008</v>
      </c>
      <c r="Q55" s="54">
        <v>0.32719999999999999</v>
      </c>
      <c r="R55" s="54">
        <v>2.5899999999999999E-3</v>
      </c>
      <c r="S55" s="54">
        <v>4.6429999999999998</v>
      </c>
      <c r="T55" s="54">
        <v>2.1070000000000002</v>
      </c>
      <c r="U55" s="54">
        <v>4.052E-2</v>
      </c>
      <c r="V55" s="54">
        <v>0.51680000000000004</v>
      </c>
      <c r="W55" s="54">
        <v>3.9249999999999997E-3</v>
      </c>
      <c r="X55" s="54">
        <v>2.3340000000000001</v>
      </c>
      <c r="AB55" s="58"/>
    </row>
    <row r="56" spans="1:29" x14ac:dyDescent="0.25">
      <c r="A56" s="49" t="s">
        <v>24</v>
      </c>
      <c r="B56" s="49" t="s">
        <v>82</v>
      </c>
      <c r="C56" s="50" t="s">
        <v>28</v>
      </c>
      <c r="D56" s="49">
        <v>12</v>
      </c>
      <c r="E56" s="52"/>
      <c r="F56" s="50" t="s">
        <v>110</v>
      </c>
      <c r="H56" s="50" t="s">
        <v>97</v>
      </c>
      <c r="I56" s="50" t="s">
        <v>31</v>
      </c>
      <c r="J56" s="53" t="s">
        <v>46</v>
      </c>
      <c r="K56" s="54">
        <v>5.5539999999999999E-3</v>
      </c>
      <c r="L56" s="54">
        <v>1.593</v>
      </c>
      <c r="M56" s="56"/>
      <c r="N56" s="54">
        <v>1.005E-2</v>
      </c>
      <c r="O56" s="54">
        <v>9.19</v>
      </c>
      <c r="P56" s="54">
        <v>5.194</v>
      </c>
      <c r="Q56" s="54">
        <v>0.36009999999999998</v>
      </c>
      <c r="R56" s="54">
        <v>2.63E-3</v>
      </c>
      <c r="S56" s="54">
        <v>4.4279999999999999</v>
      </c>
      <c r="T56" s="54">
        <v>2.0550000000000002</v>
      </c>
      <c r="U56" s="54">
        <v>3.9109999999999999E-2</v>
      </c>
      <c r="V56" s="54">
        <v>0.4335</v>
      </c>
      <c r="W56" s="54">
        <v>8.7119999999999993E-3</v>
      </c>
      <c r="X56" s="54">
        <v>2.5379999999999998</v>
      </c>
      <c r="AB56" s="58"/>
    </row>
    <row r="57" spans="1:29" x14ac:dyDescent="0.25">
      <c r="A57" s="49" t="s">
        <v>24</v>
      </c>
      <c r="B57" s="49" t="s">
        <v>82</v>
      </c>
      <c r="C57" s="50" t="s">
        <v>28</v>
      </c>
      <c r="D57" s="49">
        <v>12</v>
      </c>
      <c r="E57" s="52"/>
      <c r="F57" s="50" t="s">
        <v>111</v>
      </c>
      <c r="H57" s="50" t="s">
        <v>97</v>
      </c>
      <c r="I57" s="50" t="s">
        <v>31</v>
      </c>
      <c r="J57" s="53" t="s">
        <v>47</v>
      </c>
      <c r="K57" s="54">
        <v>9.6570000000000007E-3</v>
      </c>
      <c r="L57" s="54">
        <v>2.0790000000000002</v>
      </c>
      <c r="M57" s="56"/>
      <c r="N57" s="54">
        <v>8.0020000000000004E-3</v>
      </c>
      <c r="O57" s="54">
        <v>9.4819999999999993</v>
      </c>
      <c r="P57" s="54">
        <v>8.18</v>
      </c>
      <c r="Q57" s="54">
        <v>0.44450000000000001</v>
      </c>
      <c r="R57" s="54">
        <v>2.9680000000000002E-3</v>
      </c>
      <c r="S57" s="54">
        <v>4.1420000000000003</v>
      </c>
      <c r="T57" s="54">
        <v>1.8819999999999999</v>
      </c>
      <c r="U57" s="54">
        <v>3.209E-2</v>
      </c>
      <c r="V57" s="54">
        <v>0.57989999999999997</v>
      </c>
      <c r="W57" s="54">
        <v>6.1349999999999998E-3</v>
      </c>
      <c r="X57" s="54">
        <v>2.569</v>
      </c>
      <c r="AB57" s="58"/>
    </row>
    <row r="58" spans="1:29" x14ac:dyDescent="0.25">
      <c r="A58" s="49" t="s">
        <v>24</v>
      </c>
      <c r="B58" s="49" t="s">
        <v>82</v>
      </c>
      <c r="C58" s="50" t="s">
        <v>25</v>
      </c>
      <c r="D58" s="49">
        <v>13</v>
      </c>
      <c r="F58" s="50" t="s">
        <v>101</v>
      </c>
      <c r="H58" s="50" t="s">
        <v>100</v>
      </c>
      <c r="I58" s="50" t="s">
        <v>31</v>
      </c>
      <c r="J58" s="53" t="s">
        <v>48</v>
      </c>
      <c r="K58" s="54">
        <v>1.0710000000000001E-2</v>
      </c>
      <c r="L58" s="54">
        <v>3.052</v>
      </c>
      <c r="M58" s="56"/>
      <c r="N58" s="54">
        <v>2.1190000000000001E-2</v>
      </c>
      <c r="O58" s="54">
        <v>10.76</v>
      </c>
      <c r="P58" s="54">
        <v>6.5759999999999996</v>
      </c>
      <c r="Q58" s="54">
        <v>1.0660000000000001</v>
      </c>
      <c r="R58" s="54">
        <v>3.8660000000000001E-3</v>
      </c>
      <c r="S58" s="54">
        <v>5.6040000000000001</v>
      </c>
      <c r="T58" s="54">
        <v>2.7450000000000001</v>
      </c>
      <c r="U58" s="54">
        <v>9.2549999999999993E-2</v>
      </c>
      <c r="V58" s="54">
        <v>1.0109999999999999</v>
      </c>
      <c r="W58" s="54">
        <v>3.7789999999999998E-3</v>
      </c>
      <c r="X58" s="54">
        <v>1.4910000000000001</v>
      </c>
      <c r="AB58" s="58"/>
      <c r="AC58" s="52"/>
    </row>
    <row r="59" spans="1:29" x14ac:dyDescent="0.25">
      <c r="A59" s="49" t="s">
        <v>24</v>
      </c>
      <c r="B59" s="49" t="s">
        <v>82</v>
      </c>
      <c r="C59" s="50" t="s">
        <v>25</v>
      </c>
      <c r="D59" s="49">
        <v>13</v>
      </c>
      <c r="F59" s="50" t="s">
        <v>102</v>
      </c>
      <c r="H59" s="50" t="s">
        <v>100</v>
      </c>
      <c r="I59" s="50" t="s">
        <v>31</v>
      </c>
      <c r="J59" s="53" t="s">
        <v>49</v>
      </c>
      <c r="K59" s="54">
        <v>1.093E-2</v>
      </c>
      <c r="L59" s="54">
        <v>2.871</v>
      </c>
      <c r="M59" s="56"/>
      <c r="N59" s="54">
        <v>1.1780000000000001E-2</v>
      </c>
      <c r="O59" s="54">
        <v>10.029999999999999</v>
      </c>
      <c r="P59" s="54">
        <v>5.3639999999999999</v>
      </c>
      <c r="Q59" s="54">
        <v>0.32669999999999999</v>
      </c>
      <c r="R59" s="54">
        <v>1.9719999999999998E-3</v>
      </c>
      <c r="S59" s="54">
        <v>5.274</v>
      </c>
      <c r="T59" s="54">
        <v>2.0129999999999999</v>
      </c>
      <c r="U59" s="54">
        <v>4.2099999999999999E-2</v>
      </c>
      <c r="V59" s="54">
        <v>0.64349999999999996</v>
      </c>
      <c r="W59" s="54">
        <v>3.3670000000000002E-3</v>
      </c>
      <c r="X59" s="54">
        <v>2.1190000000000002</v>
      </c>
      <c r="AB59" s="58"/>
      <c r="AC59" s="52"/>
    </row>
    <row r="60" spans="1:29" x14ac:dyDescent="0.25">
      <c r="A60" s="49" t="s">
        <v>24</v>
      </c>
      <c r="B60" s="49" t="s">
        <v>82</v>
      </c>
      <c r="C60" s="50" t="s">
        <v>25</v>
      </c>
      <c r="D60" s="49">
        <v>14</v>
      </c>
      <c r="F60" s="50" t="s">
        <v>107</v>
      </c>
      <c r="H60" s="50" t="s">
        <v>97</v>
      </c>
      <c r="I60" s="50" t="s">
        <v>31</v>
      </c>
      <c r="J60" s="53" t="s">
        <v>50</v>
      </c>
      <c r="K60" s="54">
        <v>8.9969999999999998E-3</v>
      </c>
      <c r="L60" s="54">
        <v>2.75</v>
      </c>
      <c r="M60" s="56"/>
      <c r="N60" s="54">
        <v>1.3690000000000001E-2</v>
      </c>
      <c r="O60" s="54">
        <v>10.1</v>
      </c>
      <c r="P60" s="54">
        <v>6.0419999999999998</v>
      </c>
      <c r="Q60" s="54">
        <v>0.39429999999999998</v>
      </c>
      <c r="R60" s="54">
        <v>2.5279999999999999E-3</v>
      </c>
      <c r="S60" s="54">
        <v>6.1639999999999997</v>
      </c>
      <c r="T60" s="54">
        <v>1.931</v>
      </c>
      <c r="U60" s="54">
        <v>5.5879999999999999E-2</v>
      </c>
      <c r="V60" s="54">
        <v>0.79210000000000003</v>
      </c>
      <c r="W60" s="54">
        <v>3.3960000000000001E-3</v>
      </c>
      <c r="X60" s="54">
        <v>1.3819999999999999</v>
      </c>
      <c r="AB60" s="58"/>
      <c r="AC60" s="52"/>
    </row>
    <row r="61" spans="1:29" x14ac:dyDescent="0.25">
      <c r="A61" s="49" t="s">
        <v>24</v>
      </c>
      <c r="B61" s="49" t="s">
        <v>82</v>
      </c>
      <c r="C61" s="50" t="s">
        <v>25</v>
      </c>
      <c r="D61" s="49">
        <v>14</v>
      </c>
      <c r="E61" s="52"/>
      <c r="F61" s="50" t="s">
        <v>109</v>
      </c>
      <c r="G61" s="52"/>
      <c r="H61" s="50" t="s">
        <v>97</v>
      </c>
      <c r="I61" s="50" t="s">
        <v>31</v>
      </c>
      <c r="J61" s="53" t="s">
        <v>51</v>
      </c>
      <c r="K61" s="54">
        <v>8.2244999999999992E-3</v>
      </c>
      <c r="L61" s="54">
        <v>2.2664999999999997</v>
      </c>
      <c r="M61" s="56"/>
      <c r="N61" s="54">
        <v>1.2844499999999998E-2</v>
      </c>
      <c r="O61" s="54">
        <v>10.517999999999999</v>
      </c>
      <c r="P61" s="54">
        <v>5.8439999999999994</v>
      </c>
      <c r="Q61" s="54">
        <v>0.38220000000000004</v>
      </c>
      <c r="R61" s="54">
        <v>2.2290000000000001E-3</v>
      </c>
      <c r="S61" s="54">
        <v>5.8290000000000006</v>
      </c>
      <c r="T61" s="54">
        <v>2.0055000000000001</v>
      </c>
      <c r="U61" s="54">
        <v>5.7839999999999996E-2</v>
      </c>
      <c r="V61" s="54">
        <v>0.77249999999999996</v>
      </c>
      <c r="W61" s="54">
        <v>3.6480000000000002E-3</v>
      </c>
      <c r="X61" s="54">
        <v>1.3207499999999999</v>
      </c>
      <c r="AB61" s="58"/>
      <c r="AC61" s="52"/>
    </row>
    <row r="62" spans="1:29" x14ac:dyDescent="0.25">
      <c r="A62" s="49" t="s">
        <v>24</v>
      </c>
      <c r="B62" s="49" t="s">
        <v>82</v>
      </c>
      <c r="C62" s="50" t="s">
        <v>25</v>
      </c>
      <c r="D62" s="49">
        <v>14</v>
      </c>
      <c r="F62" s="50" t="s">
        <v>108</v>
      </c>
      <c r="H62" s="50" t="s">
        <v>97</v>
      </c>
      <c r="I62" s="50" t="s">
        <v>31</v>
      </c>
      <c r="J62" s="53" t="s">
        <v>52</v>
      </c>
      <c r="K62" s="57" t="s">
        <v>17</v>
      </c>
      <c r="L62" s="57" t="s">
        <v>17</v>
      </c>
      <c r="M62" s="56"/>
      <c r="N62" s="57" t="s">
        <v>17</v>
      </c>
      <c r="O62" s="57" t="s">
        <v>17</v>
      </c>
      <c r="P62" s="57" t="s">
        <v>17</v>
      </c>
      <c r="Q62" s="57" t="s">
        <v>17</v>
      </c>
      <c r="R62" s="57" t="s">
        <v>17</v>
      </c>
      <c r="S62" s="57" t="s">
        <v>17</v>
      </c>
      <c r="T62" s="57" t="s">
        <v>17</v>
      </c>
      <c r="U62" s="57" t="s">
        <v>17</v>
      </c>
      <c r="V62" s="57" t="s">
        <v>17</v>
      </c>
      <c r="W62" s="57" t="s">
        <v>17</v>
      </c>
      <c r="X62" s="57" t="s">
        <v>17</v>
      </c>
      <c r="AB62" s="55"/>
      <c r="AC62" s="52"/>
    </row>
    <row r="63" spans="1:29" x14ac:dyDescent="0.25">
      <c r="A63" s="49" t="s">
        <v>24</v>
      </c>
      <c r="B63" s="49" t="s">
        <v>82</v>
      </c>
      <c r="C63" s="50" t="s">
        <v>28</v>
      </c>
      <c r="D63" s="49">
        <v>15</v>
      </c>
      <c r="F63" s="50" t="s">
        <v>123</v>
      </c>
      <c r="H63" s="50" t="s">
        <v>100</v>
      </c>
      <c r="I63" s="50" t="s">
        <v>31</v>
      </c>
      <c r="J63" s="53" t="s">
        <v>53</v>
      </c>
      <c r="K63" s="54">
        <v>1.367E-2</v>
      </c>
      <c r="L63" s="54">
        <v>3.2109999999999999</v>
      </c>
      <c r="M63" s="56"/>
      <c r="N63" s="54">
        <v>8.7670000000000005E-3</v>
      </c>
      <c r="O63" s="54">
        <v>10.91</v>
      </c>
      <c r="P63" s="54">
        <v>5.0289999999999999</v>
      </c>
      <c r="Q63" s="54">
        <v>0.30570000000000003</v>
      </c>
      <c r="R63" s="54">
        <v>1.8060000000000001E-3</v>
      </c>
      <c r="S63" s="54">
        <v>4.8689999999999998</v>
      </c>
      <c r="T63" s="54">
        <v>2.444</v>
      </c>
      <c r="U63" s="54">
        <v>1.047E-2</v>
      </c>
      <c r="V63" s="54">
        <v>0.58350000000000002</v>
      </c>
      <c r="W63" s="54">
        <v>8.7899999999999992E-3</v>
      </c>
      <c r="X63" s="54">
        <v>2.7450000000000001</v>
      </c>
      <c r="AB63" s="55"/>
      <c r="AC63" s="52"/>
    </row>
    <row r="64" spans="1:29" x14ac:dyDescent="0.25">
      <c r="A64" s="49" t="s">
        <v>24</v>
      </c>
      <c r="B64" s="49" t="s">
        <v>82</v>
      </c>
      <c r="C64" s="50" t="s">
        <v>28</v>
      </c>
      <c r="D64" s="49">
        <v>15</v>
      </c>
      <c r="F64" s="50" t="s">
        <v>122</v>
      </c>
      <c r="H64" s="50" t="s">
        <v>100</v>
      </c>
      <c r="I64" s="50" t="s">
        <v>31</v>
      </c>
      <c r="J64" s="53" t="s">
        <v>54</v>
      </c>
      <c r="K64" s="54">
        <v>4.9119999999999997E-3</v>
      </c>
      <c r="L64" s="54">
        <v>2.6030000000000002</v>
      </c>
      <c r="M64" s="56"/>
      <c r="N64" s="54">
        <v>1.3599999999999999E-2</v>
      </c>
      <c r="O64" s="54">
        <v>9.6850000000000005</v>
      </c>
      <c r="P64" s="54">
        <v>5.6059999999999999</v>
      </c>
      <c r="Q64" s="54">
        <v>0.38119999999999998</v>
      </c>
      <c r="R64" s="54">
        <v>1.7589999999999999E-3</v>
      </c>
      <c r="S64" s="54">
        <v>5.4669999999999996</v>
      </c>
      <c r="T64" s="54">
        <v>2.0310000000000001</v>
      </c>
      <c r="U64" s="54">
        <v>6.3250000000000001E-2</v>
      </c>
      <c r="V64" s="54">
        <v>0.61850000000000005</v>
      </c>
      <c r="W64" s="54">
        <v>1.3159999999999999E-3</v>
      </c>
      <c r="X64" s="54">
        <v>1.9730000000000001</v>
      </c>
      <c r="AB64" s="55"/>
      <c r="AC64" s="52"/>
    </row>
    <row r="65" spans="1:29" x14ac:dyDescent="0.25">
      <c r="A65" s="49" t="s">
        <v>24</v>
      </c>
      <c r="B65" s="49" t="s">
        <v>82</v>
      </c>
      <c r="C65" s="50" t="s">
        <v>28</v>
      </c>
      <c r="D65" s="49">
        <v>15</v>
      </c>
      <c r="F65" s="50" t="s">
        <v>124</v>
      </c>
      <c r="H65" s="50" t="s">
        <v>100</v>
      </c>
      <c r="I65" s="50" t="s">
        <v>31</v>
      </c>
      <c r="J65" s="53" t="s">
        <v>55</v>
      </c>
      <c r="K65" s="54">
        <v>6.123E-3</v>
      </c>
      <c r="L65" s="54">
        <v>2.4929999999999999</v>
      </c>
      <c r="M65" s="56"/>
      <c r="N65" s="54">
        <v>6.5449999999999994E-2</v>
      </c>
      <c r="O65" s="54">
        <v>10.26</v>
      </c>
      <c r="P65" s="54">
        <v>4.93</v>
      </c>
      <c r="Q65" s="54">
        <v>0.28570000000000001</v>
      </c>
      <c r="R65" s="54">
        <v>1.9380000000000001E-3</v>
      </c>
      <c r="S65" s="54">
        <v>4.7240000000000002</v>
      </c>
      <c r="T65" s="54">
        <v>2.2410000000000001</v>
      </c>
      <c r="U65" s="54">
        <v>6.9860000000000005E-2</v>
      </c>
      <c r="V65" s="54">
        <v>0.53180000000000005</v>
      </c>
      <c r="W65" s="54">
        <v>1.567E-2</v>
      </c>
      <c r="X65" s="54">
        <v>2.2490000000000001</v>
      </c>
      <c r="AB65" s="55"/>
      <c r="AC65" s="52"/>
    </row>
    <row r="66" spans="1:29" x14ac:dyDescent="0.25">
      <c r="A66" s="49" t="s">
        <v>24</v>
      </c>
      <c r="B66" s="49" t="s">
        <v>82</v>
      </c>
      <c r="C66" s="50" t="s">
        <v>28</v>
      </c>
      <c r="D66" s="49">
        <v>16</v>
      </c>
      <c r="F66" s="50" t="s">
        <v>88</v>
      </c>
      <c r="H66" s="50" t="s">
        <v>27</v>
      </c>
      <c r="I66" s="50" t="s">
        <v>31</v>
      </c>
      <c r="J66" s="53" t="s">
        <v>56</v>
      </c>
      <c r="K66" s="54">
        <v>5.5370000000000003E-3</v>
      </c>
      <c r="L66" s="54">
        <v>2.173</v>
      </c>
      <c r="M66" s="56"/>
      <c r="N66" s="54">
        <v>1.976E-2</v>
      </c>
      <c r="O66" s="54">
        <v>8.1280000000000001</v>
      </c>
      <c r="P66" s="54">
        <v>4.859</v>
      </c>
      <c r="Q66" s="54">
        <v>0.31359999999999999</v>
      </c>
      <c r="R66" s="54">
        <v>3.1480000000000002E-3</v>
      </c>
      <c r="S66" s="54">
        <v>6.0250000000000004</v>
      </c>
      <c r="T66" s="54">
        <v>1.9370000000000001</v>
      </c>
      <c r="U66" s="54">
        <v>5.3600000000000002E-2</v>
      </c>
      <c r="V66" s="54">
        <v>0.53990000000000005</v>
      </c>
      <c r="W66" s="54">
        <v>4.9760000000000004E-3</v>
      </c>
      <c r="X66" s="54">
        <v>1.962</v>
      </c>
      <c r="AB66" s="55"/>
      <c r="AC66" s="52"/>
    </row>
    <row r="67" spans="1:29" x14ac:dyDescent="0.25">
      <c r="A67" s="49" t="s">
        <v>24</v>
      </c>
      <c r="B67" s="49" t="s">
        <v>82</v>
      </c>
      <c r="C67" s="50" t="s">
        <v>28</v>
      </c>
      <c r="D67" s="49">
        <v>16</v>
      </c>
      <c r="F67" s="50" t="s">
        <v>90</v>
      </c>
      <c r="H67" s="50" t="s">
        <v>27</v>
      </c>
      <c r="I67" s="50" t="s">
        <v>31</v>
      </c>
      <c r="J67" s="53" t="s">
        <v>57</v>
      </c>
      <c r="K67" s="54">
        <v>6.2690000000000003E-3</v>
      </c>
      <c r="L67" s="54">
        <v>2.3149999999999999</v>
      </c>
      <c r="M67" s="56"/>
      <c r="N67" s="54">
        <v>3.1949999999999999E-2</v>
      </c>
      <c r="O67" s="54">
        <v>7.7960000000000003</v>
      </c>
      <c r="P67" s="54">
        <v>4.5819999999999999</v>
      </c>
      <c r="Q67" s="54">
        <v>0.27300000000000002</v>
      </c>
      <c r="R67" s="54">
        <v>2.7239999999999999E-3</v>
      </c>
      <c r="S67" s="54">
        <v>5.1909999999999998</v>
      </c>
      <c r="T67" s="54">
        <v>1.819</v>
      </c>
      <c r="U67" s="54">
        <v>8.2180000000000003E-2</v>
      </c>
      <c r="V67" s="54">
        <v>0.59050000000000002</v>
      </c>
      <c r="W67" s="54">
        <v>2.957E-3</v>
      </c>
      <c r="X67" s="54">
        <v>2.3559999999999999</v>
      </c>
      <c r="AB67" s="55"/>
      <c r="AC67" s="52"/>
    </row>
    <row r="68" spans="1:29" x14ac:dyDescent="0.25">
      <c r="A68" s="49" t="s">
        <v>24</v>
      </c>
      <c r="B68" s="49" t="s">
        <v>82</v>
      </c>
      <c r="C68" s="50" t="s">
        <v>28</v>
      </c>
      <c r="D68" s="49">
        <v>16</v>
      </c>
      <c r="F68" s="50" t="s">
        <v>89</v>
      </c>
      <c r="H68" s="50" t="s">
        <v>27</v>
      </c>
      <c r="I68" s="50" t="s">
        <v>31</v>
      </c>
      <c r="J68" s="53" t="s">
        <v>58</v>
      </c>
      <c r="K68" s="54">
        <v>4.9309999999999996E-3</v>
      </c>
      <c r="L68" s="54">
        <v>2.02</v>
      </c>
      <c r="M68" s="56"/>
      <c r="N68" s="54">
        <v>1.4670000000000001E-2</v>
      </c>
      <c r="O68" s="54">
        <v>6.9320000000000004</v>
      </c>
      <c r="P68" s="54">
        <v>4.3949999999999996</v>
      </c>
      <c r="Q68" s="54">
        <v>0.28370000000000001</v>
      </c>
      <c r="R68" s="54">
        <v>1.879E-3</v>
      </c>
      <c r="S68" s="54">
        <v>4.7939999999999996</v>
      </c>
      <c r="T68" s="54">
        <v>1.627</v>
      </c>
      <c r="U68" s="54">
        <v>6.5759999999999999E-2</v>
      </c>
      <c r="V68" s="54">
        <v>0.46450000000000002</v>
      </c>
      <c r="W68" s="54">
        <v>6.914E-3</v>
      </c>
      <c r="X68" s="54">
        <v>2.827</v>
      </c>
      <c r="AB68" s="55"/>
    </row>
    <row r="69" spans="1:29" x14ac:dyDescent="0.25">
      <c r="A69" s="49" t="s">
        <v>24</v>
      </c>
      <c r="B69" s="49" t="s">
        <v>82</v>
      </c>
      <c r="C69" s="50" t="s">
        <v>25</v>
      </c>
      <c r="D69" s="49">
        <v>17</v>
      </c>
      <c r="F69" s="50" t="s">
        <v>106</v>
      </c>
      <c r="H69" s="50" t="s">
        <v>97</v>
      </c>
      <c r="I69" s="50" t="s">
        <v>31</v>
      </c>
      <c r="J69" s="53" t="s">
        <v>59</v>
      </c>
      <c r="K69" s="54">
        <v>1.072E-2</v>
      </c>
      <c r="L69" s="54">
        <v>2.0979999999999999</v>
      </c>
      <c r="M69" s="56"/>
      <c r="N69" s="54">
        <v>1.235E-2</v>
      </c>
      <c r="O69" s="54">
        <v>10.48</v>
      </c>
      <c r="P69" s="54">
        <v>6.1210000000000004</v>
      </c>
      <c r="Q69" s="54">
        <v>0.37959999999999999</v>
      </c>
      <c r="R69" s="54">
        <v>3.568E-3</v>
      </c>
      <c r="S69" s="54">
        <v>5.9390000000000001</v>
      </c>
      <c r="T69" s="54">
        <v>1.8959999999999999</v>
      </c>
      <c r="U69" s="54">
        <v>6.2089999999999999E-2</v>
      </c>
      <c r="V69" s="54">
        <v>0.62060000000000004</v>
      </c>
      <c r="W69" s="54">
        <v>4.0730000000000002E-3</v>
      </c>
      <c r="X69" s="54">
        <v>2.9369999999999998</v>
      </c>
      <c r="AB69" s="55"/>
    </row>
    <row r="70" spans="1:29" x14ac:dyDescent="0.25">
      <c r="A70" s="49" t="s">
        <v>24</v>
      </c>
      <c r="B70" s="49" t="s">
        <v>82</v>
      </c>
      <c r="C70" s="50" t="s">
        <v>25</v>
      </c>
      <c r="D70" s="49">
        <v>17</v>
      </c>
      <c r="F70" s="50" t="s">
        <v>103</v>
      </c>
      <c r="H70" s="50" t="s">
        <v>97</v>
      </c>
      <c r="I70" s="50" t="s">
        <v>31</v>
      </c>
      <c r="J70" s="53" t="s">
        <v>60</v>
      </c>
      <c r="K70" s="54">
        <v>6.6100000000000004E-3</v>
      </c>
      <c r="L70" s="54">
        <v>1.625</v>
      </c>
      <c r="M70" s="56"/>
      <c r="N70" s="54">
        <v>5.722E-2</v>
      </c>
      <c r="O70" s="54">
        <v>8.7390000000000008</v>
      </c>
      <c r="P70" s="54">
        <v>5.532</v>
      </c>
      <c r="Q70" s="54">
        <v>0.3861</v>
      </c>
      <c r="R70" s="54">
        <v>3.091E-3</v>
      </c>
      <c r="S70" s="54">
        <v>5.452</v>
      </c>
      <c r="T70" s="54">
        <v>2.129</v>
      </c>
      <c r="U70" s="54">
        <v>6.4879999999999993E-2</v>
      </c>
      <c r="V70" s="54">
        <v>0.41439999999999999</v>
      </c>
      <c r="W70" s="54">
        <v>4.5250000000000004E-3</v>
      </c>
      <c r="X70" s="54">
        <v>2.2429999999999999</v>
      </c>
      <c r="AB70" s="55"/>
    </row>
    <row r="71" spans="1:29" x14ac:dyDescent="0.25">
      <c r="A71" s="49" t="s">
        <v>24</v>
      </c>
      <c r="B71" s="49" t="s">
        <v>82</v>
      </c>
      <c r="C71" s="50" t="s">
        <v>25</v>
      </c>
      <c r="D71" s="49">
        <v>17</v>
      </c>
      <c r="F71" s="50" t="s">
        <v>105</v>
      </c>
      <c r="H71" s="50" t="s">
        <v>97</v>
      </c>
      <c r="I71" s="50" t="s">
        <v>31</v>
      </c>
      <c r="J71" s="53" t="s">
        <v>61</v>
      </c>
      <c r="K71" s="54">
        <v>1.4710000000000001E-2</v>
      </c>
      <c r="L71" s="54">
        <v>1.5780000000000001</v>
      </c>
      <c r="M71" s="56"/>
      <c r="N71" s="54">
        <v>7.404E-3</v>
      </c>
      <c r="O71" s="54">
        <v>9.3350000000000009</v>
      </c>
      <c r="P71" s="54">
        <v>5.077</v>
      </c>
      <c r="Q71" s="54">
        <v>0.34449999999999997</v>
      </c>
      <c r="R71" s="54">
        <v>3.2889999999999998E-3</v>
      </c>
      <c r="S71" s="54">
        <v>4.5279999999999996</v>
      </c>
      <c r="T71" s="54">
        <v>1.639</v>
      </c>
      <c r="U71" s="54">
        <v>3.5229999999999997E-2</v>
      </c>
      <c r="V71" s="54">
        <v>0.69989999999999997</v>
      </c>
      <c r="W71" s="54">
        <v>3.0460000000000001E-3</v>
      </c>
      <c r="X71" s="54">
        <v>1.2749999999999999</v>
      </c>
      <c r="AB71" s="55"/>
    </row>
    <row r="72" spans="1:29" x14ac:dyDescent="0.25">
      <c r="A72" s="49" t="s">
        <v>24</v>
      </c>
      <c r="B72" s="49" t="s">
        <v>82</v>
      </c>
      <c r="C72" s="50" t="s">
        <v>25</v>
      </c>
      <c r="D72" s="49">
        <v>17</v>
      </c>
      <c r="F72" s="50" t="s">
        <v>104</v>
      </c>
      <c r="H72" s="50" t="s">
        <v>97</v>
      </c>
      <c r="I72" s="50" t="s">
        <v>31</v>
      </c>
      <c r="J72" s="53" t="s">
        <v>62</v>
      </c>
      <c r="K72" s="54">
        <v>1.226E-2</v>
      </c>
      <c r="L72" s="54">
        <v>2.0990000000000002</v>
      </c>
      <c r="M72" s="56"/>
      <c r="N72" s="54">
        <v>1.094E-2</v>
      </c>
      <c r="O72" s="54">
        <v>9.6359999999999992</v>
      </c>
      <c r="P72" s="54">
        <v>5.4829999999999997</v>
      </c>
      <c r="Q72" s="54">
        <v>0.34549999999999997</v>
      </c>
      <c r="R72" s="54">
        <v>3.2030000000000001E-3</v>
      </c>
      <c r="S72" s="54">
        <v>5.2080000000000002</v>
      </c>
      <c r="T72" s="54">
        <v>1.8180000000000001</v>
      </c>
      <c r="U72" s="54">
        <v>4.6809999999999997E-2</v>
      </c>
      <c r="V72" s="54">
        <v>0.71140000000000003</v>
      </c>
      <c r="W72" s="54">
        <v>2.2829999999999999E-3</v>
      </c>
      <c r="X72" s="54">
        <v>2.2000000000000002</v>
      </c>
      <c r="AB72" s="55"/>
    </row>
    <row r="73" spans="1:29" x14ac:dyDescent="0.25">
      <c r="A73" s="49" t="s">
        <v>24</v>
      </c>
      <c r="B73" s="49" t="s">
        <v>82</v>
      </c>
      <c r="C73" s="50" t="s">
        <v>25</v>
      </c>
      <c r="D73" s="49">
        <v>18</v>
      </c>
      <c r="F73" s="50" t="s">
        <v>95</v>
      </c>
      <c r="H73" s="50" t="s">
        <v>27</v>
      </c>
      <c r="I73" s="50" t="s">
        <v>31</v>
      </c>
      <c r="J73" s="53" t="s">
        <v>63</v>
      </c>
      <c r="K73" s="54">
        <v>7.5259999999999997E-3</v>
      </c>
      <c r="L73" s="54">
        <v>1.849</v>
      </c>
      <c r="M73" s="56"/>
      <c r="N73" s="54">
        <v>2.878E-2</v>
      </c>
      <c r="O73" s="54">
        <v>7.3529999999999998</v>
      </c>
      <c r="P73" s="54">
        <v>5.07</v>
      </c>
      <c r="Q73" s="54">
        <v>0.316</v>
      </c>
      <c r="R73" s="54">
        <v>1.8890000000000001E-3</v>
      </c>
      <c r="S73" s="54">
        <v>5.2779999999999996</v>
      </c>
      <c r="T73" s="54">
        <v>1.5349999999999999</v>
      </c>
      <c r="U73" s="54">
        <v>9.9769999999999998E-2</v>
      </c>
      <c r="V73" s="54">
        <v>0.69730000000000003</v>
      </c>
      <c r="W73" s="54">
        <v>3.1879999999999999E-3</v>
      </c>
      <c r="X73" s="54">
        <v>2.9140000000000001</v>
      </c>
      <c r="AB73" s="55"/>
    </row>
    <row r="74" spans="1:29" x14ac:dyDescent="0.25">
      <c r="A74" s="49" t="s">
        <v>24</v>
      </c>
      <c r="B74" s="49" t="s">
        <v>82</v>
      </c>
      <c r="C74" s="50" t="s">
        <v>25</v>
      </c>
      <c r="D74" s="49">
        <v>18</v>
      </c>
      <c r="F74" s="50" t="s">
        <v>93</v>
      </c>
      <c r="H74" s="50" t="s">
        <v>27</v>
      </c>
      <c r="I74" s="50" t="s">
        <v>31</v>
      </c>
      <c r="J74" s="53" t="s">
        <v>64</v>
      </c>
      <c r="K74" s="54">
        <v>4.4460000000000003E-3</v>
      </c>
      <c r="L74" s="54">
        <v>2.7080000000000002</v>
      </c>
      <c r="M74" s="56"/>
      <c r="N74" s="54">
        <v>3.7179999999999998E-2</v>
      </c>
      <c r="O74" s="54">
        <v>8.391</v>
      </c>
      <c r="P74" s="54">
        <v>5.282</v>
      </c>
      <c r="Q74" s="54">
        <v>0.36349999999999999</v>
      </c>
      <c r="R74" s="54">
        <v>2.2130000000000001E-3</v>
      </c>
      <c r="S74" s="54">
        <v>5.4630000000000001</v>
      </c>
      <c r="T74" s="54">
        <v>2.032</v>
      </c>
      <c r="U74" s="54">
        <v>0.1094</v>
      </c>
      <c r="V74" s="54">
        <v>0.52229999999999999</v>
      </c>
      <c r="W74" s="54">
        <v>2.3749999999999999E-3</v>
      </c>
      <c r="X74" s="54">
        <v>2.2090000000000001</v>
      </c>
      <c r="AB74" s="55"/>
    </row>
    <row r="75" spans="1:29" x14ac:dyDescent="0.25">
      <c r="A75" s="49" t="s">
        <v>24</v>
      </c>
      <c r="B75" s="49" t="s">
        <v>82</v>
      </c>
      <c r="C75" s="50" t="s">
        <v>25</v>
      </c>
      <c r="D75" s="49">
        <v>18</v>
      </c>
      <c r="F75" s="50" t="s">
        <v>94</v>
      </c>
      <c r="H75" s="50" t="s">
        <v>27</v>
      </c>
      <c r="I75" s="50" t="s">
        <v>31</v>
      </c>
      <c r="J75" s="53" t="s">
        <v>65</v>
      </c>
      <c r="K75" s="54">
        <v>5.5710000000000004E-3</v>
      </c>
      <c r="L75" s="54">
        <v>2.101</v>
      </c>
      <c r="M75" s="56"/>
      <c r="N75" s="54">
        <v>1.4460000000000001E-2</v>
      </c>
      <c r="O75" s="54">
        <v>8.8629999999999995</v>
      </c>
      <c r="P75" s="54">
        <v>6.2149999999999999</v>
      </c>
      <c r="Q75" s="54">
        <v>0.25840000000000002</v>
      </c>
      <c r="R75" s="54">
        <v>1.8500000000000001E-3</v>
      </c>
      <c r="S75" s="54">
        <v>5.0910000000000002</v>
      </c>
      <c r="T75" s="54">
        <v>1.758</v>
      </c>
      <c r="U75" s="54">
        <v>7.7600000000000002E-2</v>
      </c>
      <c r="V75" s="54">
        <v>0.5383</v>
      </c>
      <c r="W75" s="54">
        <v>7.6229999999999996E-3</v>
      </c>
      <c r="X75" s="54">
        <v>2.9260000000000002</v>
      </c>
      <c r="AB75" s="55"/>
    </row>
    <row r="76" spans="1:29" x14ac:dyDescent="0.25">
      <c r="A76" s="49" t="s">
        <v>24</v>
      </c>
      <c r="B76" s="49" t="s">
        <v>82</v>
      </c>
      <c r="C76" s="50" t="s">
        <v>25</v>
      </c>
      <c r="D76" s="49">
        <v>18</v>
      </c>
      <c r="F76" s="50" t="s">
        <v>96</v>
      </c>
      <c r="H76" s="50" t="s">
        <v>27</v>
      </c>
      <c r="I76" s="50" t="s">
        <v>31</v>
      </c>
      <c r="J76" s="53" t="s">
        <v>66</v>
      </c>
      <c r="K76" s="54">
        <v>9.8449999999999996E-3</v>
      </c>
      <c r="L76" s="54">
        <v>2.1320000000000001</v>
      </c>
      <c r="M76" s="56"/>
      <c r="N76" s="54">
        <v>2.0760000000000001E-2</v>
      </c>
      <c r="O76" s="54">
        <v>8.6509999999999998</v>
      </c>
      <c r="P76" s="54">
        <v>5.3330000000000002</v>
      </c>
      <c r="Q76" s="54">
        <v>0.31490000000000001</v>
      </c>
      <c r="R76" s="54">
        <v>1.8159999999999999E-3</v>
      </c>
      <c r="S76" s="54">
        <v>4.8810000000000002</v>
      </c>
      <c r="T76" s="54">
        <v>1.8240000000000001</v>
      </c>
      <c r="U76" s="54">
        <v>0.1043</v>
      </c>
      <c r="V76" s="54">
        <v>0.67659999999999998</v>
      </c>
      <c r="W76" s="54">
        <v>1.9750000000000002E-3</v>
      </c>
      <c r="X76" s="54">
        <v>1.194</v>
      </c>
      <c r="AB76" s="55"/>
    </row>
    <row r="77" spans="1:29" x14ac:dyDescent="0.25">
      <c r="A77" s="49" t="s">
        <v>24</v>
      </c>
      <c r="B77" s="49" t="s">
        <v>82</v>
      </c>
      <c r="C77" s="50" t="s">
        <v>25</v>
      </c>
      <c r="D77" s="49">
        <v>19</v>
      </c>
      <c r="E77" s="52"/>
      <c r="F77" s="50" t="s">
        <v>114</v>
      </c>
      <c r="G77" s="52"/>
      <c r="H77" s="50" t="s">
        <v>100</v>
      </c>
      <c r="I77" s="50" t="s">
        <v>31</v>
      </c>
      <c r="J77" s="53" t="s">
        <v>67</v>
      </c>
      <c r="K77" s="54">
        <v>4.777E-3</v>
      </c>
      <c r="L77" s="54">
        <v>1.865</v>
      </c>
      <c r="M77" s="56"/>
      <c r="N77" s="54">
        <v>0.12959999999999999</v>
      </c>
      <c r="O77" s="54">
        <v>9.0809999999999995</v>
      </c>
      <c r="P77" s="54">
        <v>5.6609999999999996</v>
      </c>
      <c r="Q77" s="54">
        <v>0.3145</v>
      </c>
      <c r="R77" s="54">
        <v>1.6050000000000001E-3</v>
      </c>
      <c r="S77" s="54">
        <v>5.6230000000000002</v>
      </c>
      <c r="T77" s="54">
        <v>1.857</v>
      </c>
      <c r="U77" s="54">
        <v>5.484E-2</v>
      </c>
      <c r="V77" s="54">
        <v>0.41860000000000003</v>
      </c>
      <c r="W77" s="54">
        <v>3.7269999999999998E-3</v>
      </c>
      <c r="X77" s="54">
        <v>2.3759999999999999</v>
      </c>
    </row>
    <row r="78" spans="1:29" x14ac:dyDescent="0.25">
      <c r="A78" s="49" t="s">
        <v>24</v>
      </c>
      <c r="B78" s="49" t="s">
        <v>82</v>
      </c>
      <c r="C78" s="50" t="s">
        <v>25</v>
      </c>
      <c r="D78" s="49">
        <v>19</v>
      </c>
      <c r="F78" s="50" t="s">
        <v>119</v>
      </c>
      <c r="H78" s="50" t="s">
        <v>100</v>
      </c>
      <c r="I78" s="50" t="s">
        <v>31</v>
      </c>
      <c r="J78" s="53" t="s">
        <v>68</v>
      </c>
      <c r="K78" s="54">
        <v>4.0720000000000001E-3</v>
      </c>
      <c r="L78" s="54">
        <v>2.0720000000000001</v>
      </c>
      <c r="M78" s="56"/>
      <c r="N78" s="54">
        <v>0.2429</v>
      </c>
      <c r="O78" s="54">
        <v>7.5359999999999996</v>
      </c>
      <c r="P78" s="54">
        <v>4.6459999999999999</v>
      </c>
      <c r="Q78" s="54">
        <v>0.2898</v>
      </c>
      <c r="R78" s="54">
        <v>1.1999999999999999E-3</v>
      </c>
      <c r="S78" s="54">
        <v>4.5549999999999997</v>
      </c>
      <c r="T78" s="54">
        <v>1.901</v>
      </c>
      <c r="U78" s="54">
        <v>4.7019999999999999E-2</v>
      </c>
      <c r="V78" s="54">
        <v>0.3236</v>
      </c>
      <c r="W78" s="54">
        <v>1.0789999999999999E-2</v>
      </c>
      <c r="X78" s="54">
        <v>2.6179999999999999</v>
      </c>
    </row>
    <row r="79" spans="1:29" x14ac:dyDescent="0.25">
      <c r="A79" s="49" t="s">
        <v>24</v>
      </c>
      <c r="B79" s="49" t="s">
        <v>82</v>
      </c>
      <c r="C79" s="50" t="s">
        <v>25</v>
      </c>
      <c r="D79" s="49">
        <v>19</v>
      </c>
      <c r="E79" s="52"/>
      <c r="F79" s="50" t="s">
        <v>113</v>
      </c>
      <c r="G79" s="52"/>
      <c r="H79" s="50" t="s">
        <v>100</v>
      </c>
      <c r="I79" s="50" t="s">
        <v>31</v>
      </c>
      <c r="J79" s="53" t="s">
        <v>69</v>
      </c>
      <c r="K79" s="54">
        <v>8.3210000000000003E-3</v>
      </c>
      <c r="L79" s="54">
        <v>2.4969999999999999</v>
      </c>
      <c r="M79" s="56"/>
      <c r="N79" s="54">
        <v>1.155E-2</v>
      </c>
      <c r="O79" s="54">
        <v>10.6</v>
      </c>
      <c r="P79" s="54">
        <v>5.3689999999999998</v>
      </c>
      <c r="Q79" s="54">
        <v>0.3387</v>
      </c>
      <c r="R79" s="54">
        <v>1.866E-3</v>
      </c>
      <c r="S79" s="54">
        <v>4.8650000000000002</v>
      </c>
      <c r="T79" s="54">
        <v>2.2440000000000002</v>
      </c>
      <c r="U79" s="54">
        <v>3.805E-2</v>
      </c>
      <c r="V79" s="54">
        <v>0.5766</v>
      </c>
      <c r="W79" s="54">
        <v>3.7830000000000003E-2</v>
      </c>
      <c r="X79" s="54">
        <v>1.208</v>
      </c>
    </row>
    <row r="80" spans="1:29" x14ac:dyDescent="0.25">
      <c r="A80" s="49" t="s">
        <v>24</v>
      </c>
      <c r="B80" s="49" t="s">
        <v>82</v>
      </c>
      <c r="C80" s="50" t="s">
        <v>25</v>
      </c>
      <c r="D80" s="49">
        <v>19</v>
      </c>
      <c r="E80" s="52"/>
      <c r="F80" s="50" t="s">
        <v>118</v>
      </c>
      <c r="H80" s="50" t="s">
        <v>100</v>
      </c>
      <c r="I80" s="50" t="s">
        <v>31</v>
      </c>
      <c r="J80" s="53" t="s">
        <v>70</v>
      </c>
      <c r="K80" s="54">
        <v>3.8175000000000004E-4</v>
      </c>
      <c r="L80" s="54">
        <v>4.8480000000000008</v>
      </c>
      <c r="M80" s="56"/>
      <c r="N80" s="54">
        <v>4.1024999999999999E-2</v>
      </c>
      <c r="O80" s="54">
        <v>16.934999999999999</v>
      </c>
      <c r="P80" s="54">
        <v>12.526500000000002</v>
      </c>
      <c r="Q80" s="54">
        <v>0.85349999999999993</v>
      </c>
      <c r="R80" s="54">
        <v>3.3645000000000003E-3</v>
      </c>
      <c r="S80" s="54">
        <v>12.490500000000001</v>
      </c>
      <c r="T80" s="54">
        <v>3.4275000000000002</v>
      </c>
      <c r="U80" s="54">
        <v>0.159</v>
      </c>
      <c r="V80" s="54">
        <v>1.0524</v>
      </c>
      <c r="W80" s="54">
        <v>2.1510000000000001E-3</v>
      </c>
      <c r="X80" s="54">
        <v>1.581</v>
      </c>
    </row>
    <row r="81" spans="1:24" x14ac:dyDescent="0.25">
      <c r="A81" s="49" t="s">
        <v>24</v>
      </c>
      <c r="B81" s="49" t="s">
        <v>82</v>
      </c>
      <c r="C81" s="50" t="s">
        <v>25</v>
      </c>
      <c r="D81" s="49">
        <v>19</v>
      </c>
      <c r="E81" s="52"/>
      <c r="F81" s="50" t="s">
        <v>115</v>
      </c>
      <c r="G81" s="52"/>
      <c r="H81" s="50" t="s">
        <v>100</v>
      </c>
      <c r="I81" s="50" t="s">
        <v>31</v>
      </c>
      <c r="J81" s="53" t="s">
        <v>71</v>
      </c>
      <c r="K81" s="54">
        <v>1.1679999999999999E-2</v>
      </c>
      <c r="L81" s="54">
        <v>1.806</v>
      </c>
      <c r="M81" s="56"/>
      <c r="N81" s="54">
        <v>2.5389999999999999E-2</v>
      </c>
      <c r="O81" s="54">
        <v>10.14</v>
      </c>
      <c r="P81" s="54">
        <v>6.0880000000000001</v>
      </c>
      <c r="Q81" s="54">
        <v>0.80110000000000003</v>
      </c>
      <c r="R81" s="54">
        <v>2.9989999999999999E-3</v>
      </c>
      <c r="S81" s="54">
        <v>5.8970000000000002</v>
      </c>
      <c r="T81" s="54">
        <v>1.956</v>
      </c>
      <c r="U81" s="54">
        <v>2.3189999999999999E-2</v>
      </c>
      <c r="V81" s="54">
        <v>1.05</v>
      </c>
      <c r="W81" s="54">
        <v>3.1099999999999999E-3</v>
      </c>
      <c r="X81" s="54">
        <v>1.4370000000000001</v>
      </c>
    </row>
    <row r="82" spans="1:24" x14ac:dyDescent="0.25">
      <c r="A82" s="49" t="s">
        <v>24</v>
      </c>
      <c r="B82" s="49" t="s">
        <v>82</v>
      </c>
      <c r="C82" s="50" t="s">
        <v>28</v>
      </c>
      <c r="D82" s="49">
        <v>20</v>
      </c>
      <c r="F82" s="50" t="s">
        <v>99</v>
      </c>
      <c r="H82" s="50" t="s">
        <v>97</v>
      </c>
      <c r="I82" s="50" t="s">
        <v>31</v>
      </c>
      <c r="J82" s="53" t="s">
        <v>72</v>
      </c>
      <c r="K82" s="54">
        <v>1.2109999999999999E-2</v>
      </c>
      <c r="L82" s="54">
        <v>1.4379999999999999</v>
      </c>
      <c r="M82" s="56"/>
      <c r="N82" s="54">
        <v>1.1679999999999999E-2</v>
      </c>
      <c r="O82" s="54">
        <v>8.44</v>
      </c>
      <c r="P82" s="54">
        <v>4.5890000000000004</v>
      </c>
      <c r="Q82" s="54">
        <v>0.2944</v>
      </c>
      <c r="R82" s="54">
        <v>3.0730000000000002E-3</v>
      </c>
      <c r="S82" s="54">
        <v>4.5190000000000001</v>
      </c>
      <c r="T82" s="54">
        <v>1.6060000000000001</v>
      </c>
      <c r="U82" s="54">
        <v>6.0909999999999999E-2</v>
      </c>
      <c r="V82" s="54">
        <v>0.63670000000000004</v>
      </c>
      <c r="W82" s="54">
        <v>3.679E-3</v>
      </c>
      <c r="X82" s="54">
        <v>2.2410000000000001</v>
      </c>
    </row>
    <row r="83" spans="1:24" x14ac:dyDescent="0.25">
      <c r="A83" s="49" t="s">
        <v>24</v>
      </c>
      <c r="B83" s="49" t="s">
        <v>82</v>
      </c>
      <c r="C83" s="50" t="s">
        <v>28</v>
      </c>
      <c r="D83" s="49">
        <v>20</v>
      </c>
      <c r="F83" s="50" t="s">
        <v>98</v>
      </c>
      <c r="H83" s="50" t="s">
        <v>97</v>
      </c>
      <c r="I83" s="50" t="s">
        <v>31</v>
      </c>
      <c r="J83" s="53" t="s">
        <v>73</v>
      </c>
      <c r="K83" s="54">
        <v>7.4669999999999997E-3</v>
      </c>
      <c r="L83" s="54">
        <v>1.7270000000000001</v>
      </c>
      <c r="M83" s="56"/>
      <c r="N83" s="54">
        <v>2.1190000000000001E-2</v>
      </c>
      <c r="O83" s="54">
        <v>7.3159999999999998</v>
      </c>
      <c r="P83" s="54">
        <v>5.6319999999999997</v>
      </c>
      <c r="Q83" s="54">
        <v>0.28110000000000002</v>
      </c>
      <c r="R83" s="54">
        <v>3.235E-3</v>
      </c>
      <c r="S83" s="54">
        <v>4.532</v>
      </c>
      <c r="T83" s="54">
        <v>1.2609999999999999</v>
      </c>
      <c r="U83" s="54">
        <v>4.2939999999999999E-2</v>
      </c>
      <c r="V83" s="54">
        <v>0.60240000000000005</v>
      </c>
      <c r="W83" s="54">
        <v>2.6210000000000001E-3</v>
      </c>
      <c r="X83" s="54">
        <v>2.0619999999999998</v>
      </c>
    </row>
    <row r="84" spans="1:24" x14ac:dyDescent="0.25">
      <c r="A84" s="49" t="s">
        <v>24</v>
      </c>
      <c r="B84" s="49" t="s">
        <v>82</v>
      </c>
      <c r="C84" s="50" t="s">
        <v>28</v>
      </c>
      <c r="D84" s="49">
        <v>21</v>
      </c>
      <c r="F84" s="50" t="s">
        <v>86</v>
      </c>
      <c r="H84" s="50" t="s">
        <v>26</v>
      </c>
      <c r="I84" s="50" t="s">
        <v>31</v>
      </c>
      <c r="J84" s="53" t="s">
        <v>74</v>
      </c>
      <c r="K84" s="54">
        <v>7.9850000000000008E-3</v>
      </c>
      <c r="L84" s="54">
        <v>1.8069999999999999</v>
      </c>
      <c r="M84" s="56"/>
      <c r="N84" s="54">
        <v>9.6860000000000002E-3</v>
      </c>
      <c r="O84" s="54">
        <v>9.1679999999999993</v>
      </c>
      <c r="P84" s="54">
        <v>3.8839999999999999</v>
      </c>
      <c r="Q84" s="54">
        <v>0.71289999999999998</v>
      </c>
      <c r="R84" s="54">
        <v>2.5990000000000002E-3</v>
      </c>
      <c r="S84" s="54">
        <v>4.1029999999999998</v>
      </c>
      <c r="T84" s="54">
        <v>2.8370000000000002</v>
      </c>
      <c r="U84" s="54">
        <v>3.2230000000000002E-2</v>
      </c>
      <c r="V84" s="54">
        <v>0.94359999999999999</v>
      </c>
      <c r="W84" s="54">
        <v>2.7420000000000001E-3</v>
      </c>
      <c r="X84" s="54">
        <v>1.3720000000000001</v>
      </c>
    </row>
    <row r="85" spans="1:24" x14ac:dyDescent="0.25">
      <c r="A85" s="49" t="s">
        <v>24</v>
      </c>
      <c r="B85" s="49" t="s">
        <v>82</v>
      </c>
      <c r="C85" s="50" t="s">
        <v>28</v>
      </c>
      <c r="D85" s="49">
        <v>21</v>
      </c>
      <c r="F85" s="50" t="s">
        <v>92</v>
      </c>
      <c r="H85" s="50" t="s">
        <v>26</v>
      </c>
      <c r="I85" s="50" t="s">
        <v>31</v>
      </c>
      <c r="J85" s="53" t="s">
        <v>75</v>
      </c>
      <c r="K85" s="54">
        <v>4.6719999999999999E-3</v>
      </c>
      <c r="L85" s="54">
        <v>2.2440000000000002</v>
      </c>
      <c r="M85" s="56"/>
      <c r="N85" s="54">
        <v>5.765E-2</v>
      </c>
      <c r="O85" s="54">
        <v>7.3380000000000001</v>
      </c>
      <c r="P85" s="54">
        <v>5.2450000000000001</v>
      </c>
      <c r="Q85" s="54">
        <v>0.28310000000000002</v>
      </c>
      <c r="R85" s="54">
        <v>1.9810000000000001E-3</v>
      </c>
      <c r="S85" s="54">
        <v>6.3470000000000004</v>
      </c>
      <c r="T85" s="54">
        <v>1.2210000000000001</v>
      </c>
      <c r="U85" s="54">
        <v>0.1134</v>
      </c>
      <c r="V85" s="54">
        <v>0.51929999999999998</v>
      </c>
      <c r="W85" s="54">
        <v>3.888E-3</v>
      </c>
      <c r="X85" s="54">
        <v>3.7210000000000001</v>
      </c>
    </row>
    <row r="86" spans="1:24" x14ac:dyDescent="0.25">
      <c r="A86" s="49" t="s">
        <v>24</v>
      </c>
      <c r="B86" s="49" t="s">
        <v>82</v>
      </c>
      <c r="C86" s="50" t="s">
        <v>28</v>
      </c>
      <c r="D86" s="49">
        <v>21</v>
      </c>
      <c r="F86" s="50" t="s">
        <v>91</v>
      </c>
      <c r="H86" s="50" t="s">
        <v>26</v>
      </c>
      <c r="I86" s="50" t="s">
        <v>31</v>
      </c>
      <c r="J86" s="53" t="s">
        <v>76</v>
      </c>
      <c r="K86" s="54">
        <v>5.7959999999999999E-3</v>
      </c>
      <c r="L86" s="54">
        <v>2.7650000000000001</v>
      </c>
      <c r="M86" s="56"/>
      <c r="N86" s="54">
        <v>2.682E-2</v>
      </c>
      <c r="O86" s="54">
        <v>8.109</v>
      </c>
      <c r="P86" s="54">
        <v>5.5380000000000003</v>
      </c>
      <c r="Q86" s="54">
        <v>0.3155</v>
      </c>
      <c r="R86" s="54">
        <v>1.519E-3</v>
      </c>
      <c r="S86" s="54">
        <v>6.298</v>
      </c>
      <c r="T86" s="54">
        <v>1.7410000000000001</v>
      </c>
      <c r="U86" s="54">
        <v>0.1082</v>
      </c>
      <c r="V86" s="54">
        <v>0.55879999999999996</v>
      </c>
      <c r="W86" s="54">
        <v>3.2060000000000001E-3</v>
      </c>
      <c r="X86" s="54">
        <v>2.8519999999999999</v>
      </c>
    </row>
    <row r="87" spans="1:24" x14ac:dyDescent="0.25">
      <c r="A87" s="49" t="s">
        <v>24</v>
      </c>
      <c r="B87" s="49" t="s">
        <v>82</v>
      </c>
      <c r="C87" s="50" t="s">
        <v>28</v>
      </c>
      <c r="D87" s="49">
        <v>21</v>
      </c>
      <c r="F87" s="50" t="s">
        <v>87</v>
      </c>
      <c r="H87" s="50" t="s">
        <v>26</v>
      </c>
      <c r="I87" s="50" t="s">
        <v>31</v>
      </c>
      <c r="J87" s="53" t="s">
        <v>77</v>
      </c>
      <c r="K87" s="54">
        <v>6.9839999999999998E-3</v>
      </c>
      <c r="L87" s="54">
        <v>2.7229999999999999</v>
      </c>
      <c r="M87" s="56"/>
      <c r="N87" s="54">
        <v>1.328E-2</v>
      </c>
      <c r="O87" s="54">
        <v>10.29</v>
      </c>
      <c r="P87" s="54">
        <v>3.9790000000000001</v>
      </c>
      <c r="Q87" s="54">
        <v>0.3488</v>
      </c>
      <c r="R87" s="54">
        <v>1.64E-3</v>
      </c>
      <c r="S87" s="54">
        <v>3.75</v>
      </c>
      <c r="T87" s="54">
        <v>3.15</v>
      </c>
      <c r="U87" s="54">
        <v>2.7040000000000002E-2</v>
      </c>
      <c r="V87" s="54">
        <v>0.67900000000000005</v>
      </c>
      <c r="W87" s="54">
        <v>2.604E-3</v>
      </c>
      <c r="X87" s="54">
        <v>2.0329999999999999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TOT-Adult</vt:lpstr>
      <vt:lpstr>NT-cleaning</vt:lpstr>
      <vt:lpstr>NTadu-R-stack</vt:lpstr>
    </vt:vector>
  </TitlesOfParts>
  <Company>SERVICE DE SANTE DES ARMEES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 PENOT</dc:creator>
  <cp:lastModifiedBy>lydia srinivassan</cp:lastModifiedBy>
  <dcterms:created xsi:type="dcterms:W3CDTF">2024-10-02T14:03:16Z</dcterms:created>
  <dcterms:modified xsi:type="dcterms:W3CDTF">2026-07-03T13:50:38Z</dcterms:modified>
</cp:coreProperties>
</file>